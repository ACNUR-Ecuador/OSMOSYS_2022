
<file path=[Content_Types].xml><?xml version="1.0" encoding="utf-8"?>
<Types xmlns="http://schemas.openxmlformats.org/package/2006/content-types">
  <Default Extension="bin" ContentType="application/vnd.openxmlformats-officedocument.spreadsheetml.customProperty"/>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00000000-0000-0000-0000-000000000000}"/>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7FBEE047-35B3-4272-A683-25AC0DB8C7E3}" xr6:coauthVersionLast="47" xr6:coauthVersionMax="47" xr10:uidLastSave="{00000000-0000-0000-0000-000000000000}"/>
  <bookViews>
    <workbookView xWindow="-25320" yWindow="-2370" windowWidth="25440" windowHeight="15390" tabRatio="721" firstSheet="1" activeTab="12" xr2:uid="{5EE47F8D-D0D8-40C3-9334-11FFE2F1B696}"/>
  </bookViews>
  <sheets>
    <sheet name="formato_indicadores_asignados" sheetId="1" r:id="rId1"/>
    <sheet name="WORLD VISION" sheetId="5" r:id="rId2"/>
    <sheet name="FUDELA SOIB" sheetId="17" r:id="rId3"/>
    <sheet name="MSC SOIB &amp; SOPI" sheetId="11" r:id="rId4"/>
    <sheet name="AISOS" sheetId="12" r:id="rId5"/>
    <sheet name="FEPP" sheetId="6" r:id="rId6"/>
    <sheet name="FMS" sheetId="9" r:id="rId7"/>
    <sheet name="FT" sheetId="8" r:id="rId8"/>
    <sheet name="HIAS" sheetId="7" r:id="rId9"/>
    <sheet name="NRC" sheetId="15" r:id="rId10"/>
    <sheet name="CRISFE" sheetId="16" r:id="rId11"/>
    <sheet name="AVSI SOGU" sheetId="20" r:id="rId12"/>
    <sheet name="CDH" sheetId="18" r:id="rId13"/>
    <sheet name="MMO" sheetId="19" r:id="rId14"/>
    <sheet name="ADRA" sheetId="21" r:id="rId15"/>
    <sheet name="CORPEI" sheetId="23" r:id="rId16"/>
    <sheet name="FPE" sheetId="22" r:id="rId17"/>
    <sheet name="ASA" sheetId="26" r:id="rId18"/>
    <sheet name="AVSI SOPI" sheetId="24" r:id="rId19"/>
    <sheet name="CORPOAMBATO" sheetId="27" r:id="rId20"/>
    <sheet name="SJR" sheetId="28" r:id="rId21"/>
    <sheet name="FUDELA SOPI" sheetId="29" r:id="rId22"/>
    <sheet name="Sheet3" sheetId="3" r:id="rId23"/>
    <sheet name="Sheet5" sheetId="13" r:id="rId24"/>
    <sheet name="Sheet2" sheetId="2" r:id="rId25"/>
    <sheet name="Sheet4" sheetId="4" r:id="rId26"/>
  </sheets>
  <definedNames>
    <definedName name="_xlnm._FilterDatabase" localSheetId="17" hidden="1">ASA!$A$6:$J$6</definedName>
    <definedName name="_xlnm._FilterDatabase" localSheetId="11" hidden="1">'AVSI SOGU'!$A$6:$J$62</definedName>
    <definedName name="_xlnm._FilterDatabase" localSheetId="18" hidden="1">'AVSI SOPI'!$A$6:$J$6</definedName>
    <definedName name="_xlnm._FilterDatabase" localSheetId="12" hidden="1">CDH!$A$6:$J$55</definedName>
    <definedName name="_xlnm._FilterDatabase" localSheetId="19" hidden="1">CORPOAMBATO!$B$6:$J$53</definedName>
    <definedName name="_xlnm._FilterDatabase" localSheetId="5" hidden="1">FEPP!$A$6:$J$10</definedName>
    <definedName name="_xlnm._FilterDatabase" localSheetId="16" hidden="1">FPE!$A$6:$J$6</definedName>
    <definedName name="_xlnm._FilterDatabase" localSheetId="2" hidden="1">'FUDELA SOIB'!$A$6:$J$32</definedName>
    <definedName name="_xlnm._FilterDatabase" localSheetId="21" hidden="1">'FUDELA SOPI'!$A$6:$J$58</definedName>
    <definedName name="_xlnm._FilterDatabase" localSheetId="8" hidden="1">HIAS!$A$6:$J$51</definedName>
    <definedName name="_xlnm._FilterDatabase" localSheetId="9" hidden="1">NRC!$B$6:$J$58</definedName>
    <definedName name="_xlnm._FilterDatabase" localSheetId="24" hidden="1">Sheet2!$A$1:$A$49</definedName>
    <definedName name="_xlnm._FilterDatabase" localSheetId="22" hidden="1">Sheet3!$A$1:$D$154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24" l="1"/>
  <c r="I11" i="24"/>
  <c r="I10" i="24"/>
  <c r="I11" i="29"/>
  <c r="I10" i="29"/>
  <c r="H9" i="7" l="1"/>
  <c r="G9" i="7"/>
  <c r="F9" i="7"/>
  <c r="E9" i="7"/>
  <c r="H28" i="7"/>
  <c r="G28" i="7"/>
  <c r="H8" i="7"/>
  <c r="G8" i="7"/>
  <c r="F8" i="7"/>
  <c r="F28" i="7"/>
  <c r="E28" i="7"/>
  <c r="E8" i="7"/>
  <c r="I42" i="7"/>
  <c r="I41" i="7"/>
  <c r="I40" i="7"/>
  <c r="I39" i="7"/>
  <c r="I38" i="7"/>
  <c r="I7" i="23"/>
  <c r="I16" i="20"/>
  <c r="I17" i="20"/>
  <c r="I14" i="20"/>
  <c r="I13" i="20"/>
  <c r="I18" i="20"/>
  <c r="I15" i="20"/>
  <c r="I12" i="20"/>
  <c r="I10" i="15"/>
  <c r="I9" i="15"/>
  <c r="I7" i="29" l="1"/>
  <c r="I8" i="29"/>
  <c r="I9" i="29"/>
  <c r="I15" i="29"/>
  <c r="I16" i="29"/>
  <c r="I12" i="29"/>
  <c r="I13" i="29"/>
  <c r="I14"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7" i="28"/>
  <c r="I8" i="28"/>
  <c r="I9" i="28"/>
  <c r="I10" i="28"/>
  <c r="I11" i="28"/>
  <c r="I12" i="28"/>
  <c r="I13" i="28"/>
  <c r="I14" i="28"/>
  <c r="I15" i="28"/>
  <c r="I16" i="28"/>
  <c r="I17" i="28"/>
  <c r="I18" i="28"/>
  <c r="I19" i="28"/>
  <c r="I20" i="28"/>
  <c r="I21" i="28"/>
  <c r="I22" i="28"/>
  <c r="I23" i="28"/>
  <c r="I24" i="28"/>
  <c r="I25" i="28"/>
  <c r="I26" i="28"/>
  <c r="I27" i="28"/>
  <c r="I28" i="28"/>
  <c r="I29" i="28"/>
  <c r="I30" i="28"/>
  <c r="I31" i="28"/>
  <c r="I32" i="28"/>
  <c r="I33" i="28"/>
  <c r="I34" i="28"/>
  <c r="I35" i="28"/>
  <c r="I36" i="28"/>
  <c r="I37" i="28"/>
  <c r="I38" i="28"/>
  <c r="I39" i="28"/>
  <c r="I40" i="28"/>
  <c r="I41" i="28"/>
  <c r="I42" i="28"/>
  <c r="I43" i="28"/>
  <c r="I44" i="28"/>
  <c r="I45" i="28"/>
  <c r="I46" i="28"/>
  <c r="I47" i="28"/>
  <c r="I48" i="28"/>
  <c r="I49" i="28"/>
  <c r="I50" i="28"/>
  <c r="I51" i="28"/>
  <c r="I52" i="28"/>
  <c r="I53" i="28"/>
  <c r="I54" i="28"/>
  <c r="I55" i="28"/>
  <c r="I56" i="28"/>
  <c r="I53" i="27"/>
  <c r="I52" i="27"/>
  <c r="I51" i="27"/>
  <c r="I50" i="27"/>
  <c r="I49" i="27"/>
  <c r="I48" i="27"/>
  <c r="I47" i="27"/>
  <c r="I46" i="27"/>
  <c r="I45" i="27"/>
  <c r="I44" i="27"/>
  <c r="I43" i="27"/>
  <c r="I42" i="27"/>
  <c r="I41" i="27"/>
  <c r="I40" i="27"/>
  <c r="I39" i="27"/>
  <c r="I38" i="27"/>
  <c r="I37" i="27"/>
  <c r="I36" i="27"/>
  <c r="I35" i="27"/>
  <c r="I34" i="27"/>
  <c r="I33" i="27"/>
  <c r="I32" i="27"/>
  <c r="I31" i="27"/>
  <c r="I30" i="27"/>
  <c r="I29" i="27"/>
  <c r="I28" i="27"/>
  <c r="I27" i="27"/>
  <c r="I26" i="27"/>
  <c r="I25" i="27"/>
  <c r="I24" i="27"/>
  <c r="I23" i="27"/>
  <c r="I22" i="27"/>
  <c r="I21" i="27"/>
  <c r="I20" i="27"/>
  <c r="I19" i="27"/>
  <c r="I18" i="27"/>
  <c r="I17" i="27"/>
  <c r="I16" i="27"/>
  <c r="I15" i="27"/>
  <c r="I14" i="27"/>
  <c r="I13" i="27"/>
  <c r="I12" i="27"/>
  <c r="I11" i="27"/>
  <c r="I10" i="27"/>
  <c r="I9" i="27"/>
  <c r="I8" i="27"/>
  <c r="I7" i="27"/>
  <c r="I56" i="26" l="1"/>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30" i="26"/>
  <c r="I29" i="26"/>
  <c r="I28" i="26"/>
  <c r="I27" i="26"/>
  <c r="I26" i="26"/>
  <c r="I25" i="26"/>
  <c r="I24" i="26"/>
  <c r="I23" i="26"/>
  <c r="I22" i="26"/>
  <c r="I21" i="26"/>
  <c r="I20" i="26"/>
  <c r="I19" i="26"/>
  <c r="I18" i="26"/>
  <c r="I17" i="26"/>
  <c r="I16" i="26"/>
  <c r="I15" i="26"/>
  <c r="I14" i="26"/>
  <c r="I13" i="26"/>
  <c r="I12" i="26"/>
  <c r="I11" i="26"/>
  <c r="I10" i="26"/>
  <c r="I9" i="26"/>
  <c r="I8" i="26"/>
  <c r="I7" i="26"/>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7" i="24"/>
  <c r="I26" i="24"/>
  <c r="I25" i="24"/>
  <c r="I24" i="24"/>
  <c r="I23" i="24"/>
  <c r="I22" i="24"/>
  <c r="I21" i="24"/>
  <c r="I20" i="24"/>
  <c r="I19" i="24"/>
  <c r="I18" i="24"/>
  <c r="I17" i="24"/>
  <c r="I16" i="24"/>
  <c r="I15" i="24"/>
  <c r="I14" i="24"/>
  <c r="I13" i="24"/>
  <c r="I9" i="24"/>
  <c r="I8" i="24"/>
  <c r="I7" i="24"/>
  <c r="I20" i="18"/>
  <c r="D58" i="3"/>
  <c r="I56" i="23" l="1"/>
  <c r="I55" i="23"/>
  <c r="I54" i="23"/>
  <c r="I53" i="23"/>
  <c r="I52" i="23"/>
  <c r="I51" i="23"/>
  <c r="I50" i="23"/>
  <c r="I49" i="23"/>
  <c r="I48" i="23"/>
  <c r="I47" i="23"/>
  <c r="I46" i="23"/>
  <c r="I45" i="23"/>
  <c r="I44" i="23"/>
  <c r="I43" i="23"/>
  <c r="I42" i="23"/>
  <c r="I41" i="23"/>
  <c r="I40" i="23"/>
  <c r="I39" i="23"/>
  <c r="I38" i="23"/>
  <c r="I37" i="23"/>
  <c r="I36" i="23"/>
  <c r="I35" i="23"/>
  <c r="I34" i="23"/>
  <c r="I33" i="23"/>
  <c r="I32" i="23"/>
  <c r="I31" i="23"/>
  <c r="I30" i="23"/>
  <c r="I29" i="23"/>
  <c r="I28" i="23"/>
  <c r="I27" i="23"/>
  <c r="I26" i="23"/>
  <c r="I25" i="23"/>
  <c r="I24" i="23"/>
  <c r="I23" i="23"/>
  <c r="I22" i="23"/>
  <c r="I21" i="23"/>
  <c r="I20" i="23"/>
  <c r="I19" i="23"/>
  <c r="I18" i="23"/>
  <c r="I17" i="23"/>
  <c r="I16" i="23"/>
  <c r="I15" i="23"/>
  <c r="I14" i="23"/>
  <c r="I13" i="23"/>
  <c r="I12" i="23"/>
  <c r="I11" i="23"/>
  <c r="I10" i="23"/>
  <c r="I9" i="23"/>
  <c r="I8" i="23"/>
  <c r="I57" i="22"/>
  <c r="I56" i="22"/>
  <c r="I55" i="22"/>
  <c r="I54" i="22"/>
  <c r="I53" i="22"/>
  <c r="I52" i="22"/>
  <c r="I51" i="22"/>
  <c r="I50" i="22"/>
  <c r="I49" i="22"/>
  <c r="I48" i="22"/>
  <c r="I47" i="22"/>
  <c r="I46" i="22"/>
  <c r="I45" i="22"/>
  <c r="I44" i="22"/>
  <c r="I43" i="22"/>
  <c r="I42" i="22"/>
  <c r="I41" i="22"/>
  <c r="I40" i="22"/>
  <c r="I39" i="22"/>
  <c r="I38" i="22"/>
  <c r="I37" i="22"/>
  <c r="I36" i="22"/>
  <c r="I35" i="22"/>
  <c r="I34" i="22"/>
  <c r="I33" i="22"/>
  <c r="I32" i="22"/>
  <c r="I31" i="22"/>
  <c r="I30" i="22"/>
  <c r="I29" i="22"/>
  <c r="I28" i="22"/>
  <c r="I27" i="22"/>
  <c r="I26" i="22"/>
  <c r="I25" i="22"/>
  <c r="I24" i="22"/>
  <c r="I23" i="22"/>
  <c r="I22" i="22"/>
  <c r="I21" i="22"/>
  <c r="I20" i="22"/>
  <c r="I19" i="22"/>
  <c r="I18" i="22"/>
  <c r="I17" i="22"/>
  <c r="I16" i="22"/>
  <c r="I15" i="22"/>
  <c r="I14" i="22"/>
  <c r="I13" i="22"/>
  <c r="I12" i="22"/>
  <c r="I11" i="22"/>
  <c r="I10" i="22"/>
  <c r="I9" i="22"/>
  <c r="I7" i="22"/>
  <c r="I56" i="21"/>
  <c r="I55" i="21"/>
  <c r="I54" i="21"/>
  <c r="I53" i="21"/>
  <c r="I52" i="21"/>
  <c r="I51" i="21"/>
  <c r="I50" i="21"/>
  <c r="I49" i="21"/>
  <c r="I48" i="21"/>
  <c r="I47" i="21"/>
  <c r="I46" i="21"/>
  <c r="I45" i="21"/>
  <c r="I44" i="21"/>
  <c r="I43" i="21"/>
  <c r="I42" i="21"/>
  <c r="I41" i="21"/>
  <c r="I40" i="21"/>
  <c r="I39" i="21"/>
  <c r="I38" i="21"/>
  <c r="I37" i="21"/>
  <c r="I36" i="21"/>
  <c r="I35" i="21"/>
  <c r="I34" i="21"/>
  <c r="I33" i="21"/>
  <c r="I32" i="21"/>
  <c r="I31" i="21"/>
  <c r="I30" i="21"/>
  <c r="I29" i="21"/>
  <c r="I28" i="21"/>
  <c r="I27" i="21"/>
  <c r="I26" i="21"/>
  <c r="I25" i="21"/>
  <c r="I24" i="21"/>
  <c r="I23" i="21"/>
  <c r="I22" i="21"/>
  <c r="I21" i="21"/>
  <c r="I20" i="21"/>
  <c r="I19" i="21"/>
  <c r="I18" i="21"/>
  <c r="I17" i="21"/>
  <c r="I16" i="21"/>
  <c r="I15" i="21"/>
  <c r="I14" i="21"/>
  <c r="I13" i="21"/>
  <c r="I12" i="21"/>
  <c r="I11" i="21"/>
  <c r="I10" i="21"/>
  <c r="I9" i="21"/>
  <c r="I8" i="21"/>
  <c r="I7" i="21"/>
  <c r="I62" i="20"/>
  <c r="I61" i="20"/>
  <c r="I60" i="20"/>
  <c r="I59" i="20"/>
  <c r="I58" i="20"/>
  <c r="I57" i="20"/>
  <c r="I56" i="20"/>
  <c r="I55" i="20"/>
  <c r="I54" i="20"/>
  <c r="I53" i="20"/>
  <c r="I52" i="20"/>
  <c r="I51" i="20"/>
  <c r="I50" i="20"/>
  <c r="I49" i="20"/>
  <c r="I48" i="20"/>
  <c r="I47" i="20"/>
  <c r="I46" i="20"/>
  <c r="I45" i="20"/>
  <c r="I44" i="20"/>
  <c r="I43" i="20"/>
  <c r="I42" i="20"/>
  <c r="I41" i="20"/>
  <c r="I40" i="20"/>
  <c r="I39" i="20"/>
  <c r="I38" i="20"/>
  <c r="I37" i="20"/>
  <c r="I36" i="20"/>
  <c r="I35" i="20"/>
  <c r="I34" i="20"/>
  <c r="I33" i="20"/>
  <c r="I32" i="20"/>
  <c r="I31" i="20"/>
  <c r="I30" i="20"/>
  <c r="I29" i="20"/>
  <c r="I28" i="20"/>
  <c r="I27" i="20"/>
  <c r="I26" i="20"/>
  <c r="I25" i="20"/>
  <c r="I24" i="20"/>
  <c r="I23" i="20"/>
  <c r="I22" i="20"/>
  <c r="I21" i="20"/>
  <c r="I20" i="20"/>
  <c r="I19" i="20"/>
  <c r="I11" i="20"/>
  <c r="I10" i="20"/>
  <c r="I9" i="20"/>
  <c r="I7" i="20"/>
  <c r="I8" i="20"/>
  <c r="I56" i="19"/>
  <c r="I55" i="19"/>
  <c r="I54" i="19"/>
  <c r="I53" i="19"/>
  <c r="I52" i="19"/>
  <c r="I51" i="19"/>
  <c r="I50" i="19"/>
  <c r="I49" i="19"/>
  <c r="I48" i="19"/>
  <c r="I47" i="19"/>
  <c r="I46" i="19"/>
  <c r="I45" i="19"/>
  <c r="I44" i="19"/>
  <c r="I43" i="19"/>
  <c r="I42" i="19"/>
  <c r="I41" i="19"/>
  <c r="I40" i="19"/>
  <c r="I39" i="19"/>
  <c r="I38" i="19"/>
  <c r="I37" i="19"/>
  <c r="I36" i="19"/>
  <c r="I35" i="19"/>
  <c r="I34" i="19"/>
  <c r="I33" i="19"/>
  <c r="I32" i="19"/>
  <c r="I31" i="19"/>
  <c r="I30" i="19"/>
  <c r="I29" i="19"/>
  <c r="I28" i="19"/>
  <c r="I27" i="19"/>
  <c r="I26" i="19"/>
  <c r="I25" i="19"/>
  <c r="I24" i="19"/>
  <c r="I23" i="19"/>
  <c r="I22" i="19"/>
  <c r="I21" i="19"/>
  <c r="I20" i="19"/>
  <c r="I19" i="19"/>
  <c r="I18" i="19"/>
  <c r="I17" i="19"/>
  <c r="I16" i="19"/>
  <c r="I15" i="19"/>
  <c r="I14" i="19"/>
  <c r="I13" i="19"/>
  <c r="I12" i="19"/>
  <c r="I11" i="19"/>
  <c r="I10" i="19"/>
  <c r="I9" i="19"/>
  <c r="I8" i="19"/>
  <c r="I7" i="19"/>
  <c r="I55" i="18"/>
  <c r="I54" i="18"/>
  <c r="I53" i="18"/>
  <c r="I52" i="18"/>
  <c r="I51" i="18"/>
  <c r="I50" i="18"/>
  <c r="I49" i="18"/>
  <c r="I48" i="18"/>
  <c r="I47" i="18"/>
  <c r="I46" i="18"/>
  <c r="I45" i="18"/>
  <c r="I44" i="18"/>
  <c r="I43" i="18"/>
  <c r="I42" i="18"/>
  <c r="I41" i="18"/>
  <c r="I40" i="18"/>
  <c r="I39" i="18"/>
  <c r="I38" i="18"/>
  <c r="I37" i="18"/>
  <c r="I36" i="18"/>
  <c r="I35" i="18"/>
  <c r="I34" i="18"/>
  <c r="I33" i="18"/>
  <c r="I32" i="18"/>
  <c r="I31" i="18"/>
  <c r="I30" i="18"/>
  <c r="I29" i="18"/>
  <c r="I28" i="18"/>
  <c r="I27" i="18"/>
  <c r="I26" i="18"/>
  <c r="I25" i="18"/>
  <c r="I24" i="18"/>
  <c r="I23" i="18"/>
  <c r="I22" i="18"/>
  <c r="I21" i="18"/>
  <c r="I19" i="18"/>
  <c r="I18" i="18"/>
  <c r="I17" i="18"/>
  <c r="I16" i="18"/>
  <c r="I15" i="18"/>
  <c r="I14" i="18"/>
  <c r="I13" i="18"/>
  <c r="I12" i="18"/>
  <c r="I11" i="18"/>
  <c r="I10" i="18"/>
  <c r="I9" i="18"/>
  <c r="I8" i="18"/>
  <c r="I7" i="18"/>
  <c r="I8" i="17"/>
  <c r="I9" i="17"/>
  <c r="I11" i="17"/>
  <c r="I12" i="17"/>
  <c r="I13" i="17"/>
  <c r="I14" i="17"/>
  <c r="I10" i="17"/>
  <c r="I15" i="17"/>
  <c r="I16" i="17"/>
  <c r="I17" i="17"/>
  <c r="I18" i="17"/>
  <c r="I19" i="17"/>
  <c r="I23" i="17"/>
  <c r="I20" i="17"/>
  <c r="I22" i="17"/>
  <c r="I21" i="17"/>
  <c r="I24" i="17"/>
  <c r="I31" i="17"/>
  <c r="I32" i="17"/>
  <c r="I28" i="17"/>
  <c r="I30" i="17"/>
  <c r="I29" i="17"/>
  <c r="I25" i="17"/>
  <c r="I27" i="17"/>
  <c r="I26" i="17"/>
  <c r="I7" i="17" l="1"/>
  <c r="I8" i="11"/>
  <c r="I10" i="11"/>
  <c r="I56" i="16" l="1"/>
  <c r="I55" i="16"/>
  <c r="I54" i="16"/>
  <c r="I53" i="16"/>
  <c r="I52" i="16"/>
  <c r="I51" i="16"/>
  <c r="I50" i="16"/>
  <c r="I49" i="16"/>
  <c r="I48" i="16"/>
  <c r="I47" i="16"/>
  <c r="I46" i="16"/>
  <c r="I45" i="16"/>
  <c r="I44" i="16"/>
  <c r="I43" i="16"/>
  <c r="I42" i="16"/>
  <c r="I41" i="16"/>
  <c r="I40" i="16"/>
  <c r="I39" i="16"/>
  <c r="I38" i="16"/>
  <c r="I37" i="16"/>
  <c r="I36" i="16"/>
  <c r="I35" i="16"/>
  <c r="I34" i="16"/>
  <c r="I33" i="16"/>
  <c r="I32" i="16"/>
  <c r="I31" i="16"/>
  <c r="I30" i="16"/>
  <c r="I29" i="16"/>
  <c r="I28" i="16"/>
  <c r="I27" i="16"/>
  <c r="I26" i="16"/>
  <c r="I25" i="16"/>
  <c r="I24" i="16"/>
  <c r="I23" i="16"/>
  <c r="I22" i="16"/>
  <c r="I21" i="16"/>
  <c r="I20" i="16"/>
  <c r="I19" i="16"/>
  <c r="I18" i="16"/>
  <c r="I17" i="16"/>
  <c r="I16" i="16"/>
  <c r="I15" i="16"/>
  <c r="I14" i="16"/>
  <c r="I13" i="16"/>
  <c r="I12" i="16"/>
  <c r="I11" i="16"/>
  <c r="I10" i="16"/>
  <c r="I9" i="16"/>
  <c r="I8" i="16"/>
  <c r="I7" i="16"/>
  <c r="I58" i="15" l="1"/>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8" i="15"/>
  <c r="I7" i="15"/>
  <c r="I46" i="7"/>
  <c r="I13" i="7"/>
  <c r="I13" i="12" l="1"/>
  <c r="I12" i="12"/>
  <c r="I11" i="12"/>
  <c r="I10" i="12"/>
  <c r="I9" i="12"/>
  <c r="I8" i="12"/>
  <c r="I7" i="12"/>
  <c r="I7" i="11"/>
  <c r="I9" i="11"/>
  <c r="I7" i="9"/>
  <c r="I8" i="9"/>
  <c r="I9" i="9"/>
  <c r="I43" i="7"/>
  <c r="I45" i="7"/>
  <c r="I47" i="7"/>
  <c r="I48" i="7"/>
  <c r="I49" i="7"/>
  <c r="I50" i="7"/>
  <c r="I51" i="7"/>
  <c r="I44" i="7"/>
  <c r="I7" i="8"/>
  <c r="I7" i="7"/>
  <c r="I8" i="7"/>
  <c r="I9" i="7"/>
  <c r="I10" i="7"/>
  <c r="I11" i="7"/>
  <c r="I12" i="7"/>
  <c r="I14" i="7"/>
  <c r="I15" i="7"/>
  <c r="I16" i="7"/>
  <c r="I17" i="7"/>
  <c r="I18" i="7"/>
  <c r="I19" i="7"/>
  <c r="I20" i="7"/>
  <c r="I21" i="7"/>
  <c r="I22" i="7"/>
  <c r="I23" i="7"/>
  <c r="I24" i="7"/>
  <c r="I25" i="7"/>
  <c r="I26" i="7"/>
  <c r="I27" i="7"/>
  <c r="I28" i="7"/>
  <c r="I29" i="7"/>
  <c r="I30" i="7"/>
  <c r="I31" i="7"/>
  <c r="I32" i="7"/>
  <c r="I33" i="7"/>
  <c r="I34" i="7"/>
  <c r="I35" i="7"/>
  <c r="I36" i="7"/>
  <c r="I37" i="7"/>
  <c r="I8" i="6"/>
  <c r="I9" i="6"/>
  <c r="I10" i="6"/>
  <c r="I7" i="6"/>
  <c r="I14" i="5"/>
  <c r="I13" i="5"/>
  <c r="I12" i="5"/>
  <c r="I11" i="5"/>
  <c r="I10" i="5"/>
  <c r="I9" i="5"/>
  <c r="I8" i="5"/>
  <c r="I7" i="5"/>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7" i="1"/>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2" i="3"/>
</calcChain>
</file>

<file path=xl/sharedStrings.xml><?xml version="1.0" encoding="utf-8"?>
<sst xmlns="http://schemas.openxmlformats.org/spreadsheetml/2006/main" count="1737" uniqueCount="849">
  <si>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</si>
  <si>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</si>
  <si>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</si>
  <si>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</si>
  <si>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</si>
  <si>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</si>
  <si>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</si>
  <si>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</si>
  <si>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</si>
  <si>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</si>
  <si>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</si>
  <si>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</si>
  <si>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</si>
  <si>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</si>
  <si>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1.1.3 Las personas por las cuales ACNUR trabaja tienen acceso al registro y a la respuesta de gestión de casos de protección de acuerdo con sus necesidades y vulnerabilidades específicas.</t>
  </si>
  <si>
    <t>10L02 No. de niños, niñas y adolescentes que reciben acompañamiento individual y acceden a la educación</t>
  </si>
  <si>
    <t>AZUAY-CUENCA, AZUAY-GUACHAPALA</t>
  </si>
  <si>
    <t>2.1.3 Servicios que apoyan a la inclusión en la educación, la salud mental y el apoyo psicosocial son proporcionados a los niños y adolescentes más vulnerables.</t>
  </si>
  <si>
    <t>Identificación de casos vulnerables, entrega de kits y seguimiento (actividad 6 y actividad 7)</t>
  </si>
  <si>
    <t>10L01 No. de personas por las cuales ACNUR trabaja que reciben kits educativos</t>
  </si>
  <si>
    <t>MANABI-MANTA, MANABI-PEDERNALES, MANABI-PORTOVIEJO, PICHINCHA-QUITO, STO DGO TSACHILAS-SANTO DOMINGO, TUNGURAHUA-AMBATO</t>
  </si>
  <si>
    <t>Promover el desarrollo integral de los niños, niñas y adolescentes identificados, brindando acompañamiento psicológico,  psicopedagógico y/o de salud mental,  en caso de ser requerido se remitirá  a las organizaciones pertinentes (actividad 8)</t>
  </si>
  <si>
    <t>Brindar apoyo psicológico,  psicopedagógico,  de salud mental y Respiramos Inclusión a padres, madres y/o cuidadores identificados, para reforzar la importancia de la educación en las niñas y las adolescentes mediante talleres de capacitación y sensibilización (actividad 9 y 11)</t>
  </si>
  <si>
    <t>10L03 No. de personas por las cuales ACNUR trabaja y de comunidad de acogida capacitadas(Categoría: Educación)</t>
  </si>
  <si>
    <t>Formaciones en apoyo psicosocial, bienestar emocional y autocuidado a docentes de las unidades educativas priorizadas (actividad 10)</t>
  </si>
  <si>
    <t>10L06 No. de personas de instituciones capacitadas(Categoría: Apoyo psicosocial)</t>
  </si>
  <si>
    <t>Identificación de casos, acompañamiento psicológico y  psicopedagógico  a las familias.</t>
  </si>
  <si>
    <t>10L08 No. de estudiantes que son remitidos a servicios psicopedagógicos y otros servicios de protección</t>
  </si>
  <si>
    <t>2.1.4 Actividades de sensibilización para reducir la xenofobia, la violencia y la discriminación en el entorno escolar son promovidas.</t>
  </si>
  <si>
    <t>Capacitación técnica al personal docente, administrativo, DECEs y estudiantes de instituciones educativas a través de la Metodología Respiramos Inclusión (actividad 1)</t>
  </si>
  <si>
    <t>10M01 No. de estudiantes beneficiados por la implementación de la metodología Respiramos Inclusión</t>
  </si>
  <si>
    <t>10M02 No. de personas de instituciones capacitadas(Categoría: Respiramos Inclusión)</t>
  </si>
  <si>
    <t>Unidades educativas implementan  la metodología de Respiramos Inclusiónoperativizando su plan de acción (actividad 1)</t>
  </si>
  <si>
    <t>10M03 No. de unidades educativas en las que se implementa la metodología de Respiramos Inclusión</t>
  </si>
  <si>
    <t xml:space="preserve">Niños, niñas y adolescentes reciben asistencia técnica que facilita el acceso a la educación. </t>
  </si>
  <si>
    <t>CARCHI-MONTUFAR, CARCHI-TULCAN, CARCHI-BOLIVAR, IMBABURA-OTAVALO, IMBABURA-IBARRA, IMBABURA-ANTONIO ANTE, CARCHI-SAN PEDRO DE HUACA</t>
  </si>
  <si>
    <t>Niños, niñas y adolescentes que reciben atención apoyo psicologico y pedagógico, así como son remitidos a servicios psicosociales, jurídicos y de gestión de casos específicos</t>
  </si>
  <si>
    <t>IMBABURA-OTAVALO, IMBABURA-IBARRA, IMBABURA-ANTONIO ANTE</t>
  </si>
  <si>
    <t>Madres, Padres, Cudiadres apoyados y capacitados que comprenden la importancia de la educación en las niñas, niños y adolescentes</t>
  </si>
  <si>
    <t>Madres, padres, cuidadores y niños, niñas y adolescentes que reciben recursos en mano para movilización a talleres formativos</t>
  </si>
  <si>
    <t>10L09 No. de personas por las cuales ACNUR trabaja que reciben transferencias monetarias(Categoría: Educación)</t>
  </si>
  <si>
    <t>10L04 No. de hogares que reciben transferencias monetarias(Categoría: Educación)</t>
  </si>
  <si>
    <t>10L05 No. de transferencias monetarias realizadas(Categoría: Educación)</t>
  </si>
  <si>
    <t>Formación a docentes en habilidades socio emocionales, con enfoque de género, equidad; y  Prevención de VBG.</t>
  </si>
  <si>
    <t>10L07 No. de personas por las cuales ACNUR trabaja que reciben kits de conectividad</t>
  </si>
  <si>
    <t>CARCHI-MONTUFAR, CARCHI-TULCAN, CARCHI-BOLIVAR, CARCHI-SAN PEDRO DE HUACA</t>
  </si>
  <si>
    <t xml:space="preserve">Implementación de la metodología Respiramos inclusión en  Unidades Educativas favorece a todos/as las estudiantes matriculados.    </t>
  </si>
  <si>
    <t>CARCHI-MONTUFAR, CARCHI-TULCAN, CARCHI-BOLIVAR, IMBABURA-OTAVALO, IMBABURA-IBARRA, IMBABURA-ANTONIO ANTE, CARCHI-SAN PEDRO DE HUACA, ESMERALDAS-ESMERALDAS, SUCUMBIOS-NUEVA LOJA, SUCUMBIOS-PUTUMAYO</t>
  </si>
  <si>
    <t xml:space="preserve">Sensibilización y fortalecimiento de docentes y directivos de U.E. y Distritos de educación para promover la inclusión educativa.  </t>
  </si>
  <si>
    <t xml:space="preserve">Unidades Educativas en intervención con la metodología Respiramos Inclusión </t>
  </si>
  <si>
    <t>3.2.3 El ACNUR ayuda a las personas vulnerables a crear y gestionar empresas, contribuyendo al mismo tiempo a un mercado más inclusivo y promoviendo oportunidades de empleabilidad accesibles.</t>
  </si>
  <si>
    <t>A GANAR Plus - Talleres de formación en habilidades blandas, Capacitación Técnica, Oficios, Emprendimiento y Competencias digitales impartidos</t>
  </si>
  <si>
    <t>11301 No. de personas por las cuales ACNUR trabaja certificadas en capacitación técnica y vocacional</t>
  </si>
  <si>
    <t>CARCHI-MONTUFAR, CARCHI-TULCAN, CARCHI-BOLIVAR, IMBABURA-OTAVALO, IMBABURA-IBARRA, IMBABURA-ANTONIO ANTE, CARCHI-SAN PEDRO DE HUACA, ESMERALDAS-ESMERALDAS, SUCUMBIOS-NUEVA LOJA, SUCUMBIOS-SUCUMBIOS</t>
  </si>
  <si>
    <r>
      <rPr>
        <sz val="11"/>
        <color rgb="FFFF0000"/>
        <rFont val="Arial"/>
        <family val="2"/>
      </rPr>
      <t xml:space="preserve">A GANAR: </t>
    </r>
    <r>
      <rPr>
        <sz val="11"/>
        <color theme="1"/>
        <rFont val="Arial"/>
        <family val="2"/>
      </rPr>
      <t>Jóvenes que reciben cash en mano dinero efectivo para faciltiar su asistencia a talleres y procesos formativos en las comunidades</t>
    </r>
  </si>
  <si>
    <t>11A04 No. de personas por las cuales ACNUR trabaja que reciben transferencias monetarias(Categoría: Movilización comunitaria)</t>
  </si>
  <si>
    <r>
      <rPr>
        <sz val="11"/>
        <color rgb="FFFF0000"/>
        <rFont val="Arial"/>
        <family val="2"/>
      </rPr>
      <t>A GANAR:</t>
    </r>
    <r>
      <rPr>
        <sz val="11"/>
        <color theme="1"/>
        <rFont val="Arial"/>
        <family val="2"/>
      </rPr>
      <t xml:space="preserve"> Jóvenes que reciben cash en mano dinero efectivo para faciltiar su asistencia a talleres y procesos formativos en las comunidades</t>
    </r>
  </si>
  <si>
    <t>11A06 No. de hogares que reciben transferencias monetarias(Categoría: Movilización comunitaria)</t>
  </si>
  <si>
    <t>11A05 No. de transferencias monetarias realizadas(Categoría: Movilización comunitaria)</t>
  </si>
  <si>
    <t>Seguimiento, acompñamiento y fortalecimiento a personas que recibieron k-semilla en el año 2022</t>
  </si>
  <si>
    <t>11412 No. de personas por las cuales ACNUR trabaja con emprendimientos apoyados para vinculación al mercado y/o comercialización</t>
  </si>
  <si>
    <t>IMBABURA-OTAVALO, IMBABURA-IBARRA, IMBABURA-ANTONIO ANTE, ESMERALDAS-ESMERALDAS, SUCUMBIOS-NUEVA LOJA</t>
  </si>
  <si>
    <t>3.4.1 Las capacidades de las redes comunitarias son fortalecidas para identificar los riesgos, buscar soluciones, influir en las políticas públicas y promover acciones contra el cambio climático.</t>
  </si>
  <si>
    <t>Talleres de habilidades blandas, promoción de derechos de la  niñez y otros formativos y de BUTL / Campeones Comunitarios</t>
  </si>
  <si>
    <t>10I02 No. de personas por las cuales ACNUR trabaja y de comunidad de acogida capacitadas(Categoría: Protección de niñez y adolescencia)</t>
  </si>
  <si>
    <t>CARCHI-MONTUFAR, CARCHI-TULCAN, CARCHI-BOLIVAR, IMBABURA-OTAVALO, IMBABURA-IBARRA, IMBABURA-ANTONIO ANTE, CARCHI-SAN PEDRO DE HUACA, ESMERALDAS-ESMERALDAS, SUCUMBIOS-NUEVA LOJA, SUCUMBIOS-SUCUMBIOS, SUCUMBIOS-PUTUMAYO</t>
  </si>
  <si>
    <r>
      <rPr>
        <sz val="11"/>
        <color rgb="FFFF0000"/>
        <rFont val="Arial"/>
        <family val="2"/>
      </rPr>
      <t>CAMPEONES COMUNITARIOS:</t>
    </r>
    <r>
      <rPr>
        <sz val="11"/>
        <color theme="1"/>
        <rFont val="Arial"/>
        <family val="2"/>
      </rPr>
      <t xml:space="preserve"> Niños, niñas y adolescentes que reciben trasnferencias monetarias para faciltiar su asistencia a talleres y procesos formativos en las comunidades, cash en mano.</t>
    </r>
  </si>
  <si>
    <r>
      <rPr>
        <sz val="11"/>
        <color rgb="FFFF0000"/>
        <rFont val="Arial"/>
        <family val="2"/>
      </rPr>
      <t>CAMPEONES COMUNITARIOS:</t>
    </r>
    <r>
      <rPr>
        <sz val="11"/>
        <color theme="1"/>
        <rFont val="Arial"/>
        <family val="2"/>
      </rPr>
      <t xml:space="preserve"> Niños, niñas y adolescentes que reciben trasnferencias monetarias para faciltiar su asistencia a talleres y procesos formativos en las comunidades, cash en mano</t>
    </r>
  </si>
  <si>
    <r>
      <rPr>
        <sz val="11"/>
        <color rgb="FFFF0000"/>
        <rFont val="Arial"/>
        <family val="2"/>
      </rPr>
      <t xml:space="preserve">CAMPEONES COMUNITARIOS: </t>
    </r>
    <r>
      <rPr>
        <sz val="11"/>
        <color theme="1"/>
        <rFont val="Arial"/>
        <family val="2"/>
      </rPr>
      <t>Niños, niñas y adolescentes que reciben trasnferencias monetarias para faciltiar su asistencia a talleres y procesos formativos en las comunidades, cash en mano</t>
    </r>
  </si>
  <si>
    <t>Adolescentes Becarios que reciben recursos en mano para movilización a talleres formativos y manutención</t>
  </si>
  <si>
    <t>11303 No. de personas por las cuales ACNUR trabaja que reciben transferencias monetarias(Categoría: Becas)</t>
  </si>
  <si>
    <t>CARCHI-TULCAN</t>
  </si>
  <si>
    <t>11305 No. de hogares que reciben transferencias monetarias(Categoría: Becas)</t>
  </si>
  <si>
    <t>11304 No. de transferencias monetarias realizadas(Categoría: Becas)</t>
  </si>
  <si>
    <t>Comunidades donde se interviene con los programas de Campeones Comunitarios</t>
  </si>
  <si>
    <t>11901 No. de organizaciones comunitarias de base y redes locales apoyadas para fortalecer los mecanismos comunitarios de protección</t>
  </si>
  <si>
    <t>Actividades y acciones comunitarias como mingas, eventos deportivos, eventos culturales, sociales, ambientales que promueven la integración y la inclusión social y cultural de las personas en general, donde es relevante el liderazgo de las mujeres principalmente.</t>
  </si>
  <si>
    <t>11902 No. de personas por las cuales ACNUR trabaja que participan en las estructuras de decisión de las organizaciones comunitarias apoyadas</t>
  </si>
  <si>
    <t>1.1.2 Arreglos apropiados de recepción, espacios seguros y albergue de emergencia son implementados para satisfacer las necesidades específicas de las personas a las que servimos, teniendo en cuenta también los riesgos climáticos.</t>
  </si>
  <si>
    <t>Las personas acceden a espacios de alojamiento seguro durante su llegada al país, que incluye alimentación y kits de higiene personal.</t>
  </si>
  <si>
    <t>10101 No. de personas por las cuales ACNUR trabaja que reciben albergue de emergencia/alojamiento temporal</t>
  </si>
  <si>
    <t>IMBABURA-IBARRA, STO DGO TSACHILAS-SANTO DOMINGO</t>
  </si>
  <si>
    <t>Las personas vulnerables acceden a espacios de atención jurídica y psicosocial grupales e individuales.</t>
  </si>
  <si>
    <t>10B03 No. de personas por las cuales ACNUR trabaja que reciben atención psicosocial(Categoría: General)</t>
  </si>
  <si>
    <t>10901 No. de personas por las cuales ACNUR trabaja que reciben orientación y asistencia legal(Categoría: Acceso al asilo y alternativas migratorias)</t>
  </si>
  <si>
    <t>IMBABURA-IBARRA, IMBABURA-IBARRA, STO DGO TSACHILAS-SANTO DOMINGO</t>
  </si>
  <si>
    <t xml:space="preserve">Campaña de sensibilización; Ferias sociocultural; Actividad cultural;  Celebración del día del niño;  16 dias de Activismo; Fiesta Navideña.         </t>
  </si>
  <si>
    <t>11A02 No. de personas por las cuales ACNUR trabaja que participan en proyectos de coexistencia pacífica(Categoría: General)</t>
  </si>
  <si>
    <t>1.6.1 La respuesta de protección de las instituciones y los socios con el mandato de prestar servicios especializados de gestión de casos de protección de la infancia para los niños no acompañados y separados, incluida la asistencia jurídica, el apoyo psi</t>
  </si>
  <si>
    <t xml:space="preserve">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 </t>
  </si>
  <si>
    <t>10G01 No. de niños, niñas y adolescentes no acompañados y separados identificados</t>
  </si>
  <si>
    <t>IMBABURA-IBARRA, CARCHI-TULCAN</t>
  </si>
  <si>
    <t>10G02 No. de niños, niñas y adolescentes no acompañados y separados que tienen acceso a modalidades de cuidado alternativo</t>
  </si>
  <si>
    <t>10R04 No. de personas por las cuales ACNUR trabaja que reciben transferencias monetarias(Categoría: Necesidades específicas)</t>
  </si>
  <si>
    <t>10R05 No. de hogares que reciben transferencias monetarias(Categoría: Necesidades específicas)</t>
  </si>
  <si>
    <t>10R06 No. de transferencias monetarias realizadas(Categoría: Necesidades específicas)</t>
  </si>
  <si>
    <t xml:space="preserve">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</si>
  <si>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10704 No. de intervenciones de incidencia realizadas(Categoría: Protección de niñez y adolescencia)</t>
  </si>
  <si>
    <t xml:space="preserve"> Las personas por las cuales ACNUR trabaja son identificadas oportunamente y referidas a los servicios de protección en los puntos de entrada y tránsito.</t>
  </si>
  <si>
    <t>10002 No. de personas por las cuales ACNUR trabaja informadas y orientadas a servicios de protección</t>
  </si>
  <si>
    <t>3.4.1 Las capacidades de las redes comunitarias son fortalecidas para identificar los riesgos, buscar soluciones, influir en las políticas públicas y promover acciones contra el cambio climático</t>
  </si>
  <si>
    <t>Planificación y ejecución de iniciativas ciudadanas para la promoción del ejercicio de los derechos</t>
  </si>
  <si>
    <t>ESMERALDAS-SAN LORENZO, ESMERALDAS-ESMERALDAS</t>
  </si>
  <si>
    <t>Ejecución de actividades propuestas lideradas por mujeres</t>
  </si>
  <si>
    <t>ESMERALDAS-ESMERALDAS, ESMERALDAS-SAN LORENZO, ESMERALDAS-ESMERALDAS</t>
  </si>
  <si>
    <t>Acciones de coexistencia pacífica que mejoran la convivencia comunitaria</t>
  </si>
  <si>
    <t>11A01 No. de organizaciones comunitarias involucradas en proyectos de coexistencia pacífica</t>
  </si>
  <si>
    <t>ESMERALDAS-SAN LORENZO, ESMERALDAS-SAN LORENZO, ESMERALDAS-ESMERALDAS</t>
  </si>
  <si>
    <t>Vinculación e integración de población de acogida y de interés comparten espacios de coexistencia pacifica</t>
  </si>
  <si>
    <t xml:space="preserve">1.5.1 La respuesta de protección de las instituciones con el mandato de proporcionar servicios especializados de gestión de casos para las supervivientes de la violencia de género, incluyendo la asistencia jurídica, el apoyo psicosocial y la provisión de </t>
  </si>
  <si>
    <t>Brindar una primera atención a través de entrevistas a las sobrevivientes de VBG para la gestión de casos.</t>
  </si>
  <si>
    <t>10B02 No. personas por las cuales ACNUR trabaja identificadas como sobrevivientes de VBG</t>
  </si>
  <si>
    <t>SUCUMBIOS-LAGO AGRIO</t>
  </si>
  <si>
    <t xml:space="preserve">Brindar atención integral a las sobrevivientes de VBG en el ámbito psicosocial. </t>
  </si>
  <si>
    <t>10B03 No. de personas por las cuales ACNUR trabaja que reciben atención psicosocial(Categoría: Prevención, mitigación y respuesta a la VBG)</t>
  </si>
  <si>
    <t>Brindar atención integral a las sobrevivientes de VBG en el ámbito legal.</t>
  </si>
  <si>
    <t>10C01 No. de personas por las cuales ACNUR trabaja que reciben orientación y asistencia legal(Categoría: Prevención, mitigación y respuesta a la VBG)</t>
  </si>
  <si>
    <t xml:space="preserve">Se brindará albergue a la población objetivo del proyecto. El albergue incluye: alimentación, conectividad por wifi, materiales de aseo personal y suministros de higiene. </t>
  </si>
  <si>
    <t>2.3.1 Un sistema eficiente de registro, coordinación y mecanismos de referencia es establecido para garantizar la complementariedad en los programas de asistencia para cubrir las necesidades básicas.</t>
  </si>
  <si>
    <t>Registro individual de personas de interés con el mínimo conjunto de datos requerido en proGres</t>
  </si>
  <si>
    <t>10Q01 No. de personas por las cuales ACNUR trabaja registradas individualmente en proGres con el mínimo conjunto de datos requerido(Categoría: ACNUR, HIAS, NRC y PLAN)</t>
  </si>
  <si>
    <t>AZUAY-CUENCA, TUNGURAHUA-AMBATO, STO DGO TSACHILAS-SANTO DOMINGO, PICHINCHA-QUITO, EL ORO-MACHALA, GUAYAS-GUAYAQUIL, MANABI-MANTA</t>
  </si>
  <si>
    <t>3.1.1 Las personas por las cuales ACNUR trabaja con graves riesgos de protección y necesidades específicas, que cumplan con los criterios de reasentamiento, son identificadas, remitidas y apoyadas para acceder al reasentamiento como herramienta de protección.</t>
  </si>
  <si>
    <t>Identificaciones reasentamiento</t>
  </si>
  <si>
    <t>10Z01 No. de personas por las cuales ACNUR trabaja identificadas para reasentamiento</t>
  </si>
  <si>
    <t>AZUAY-CUENCA, TUNGURAHUA-AMBATO, STO DGO TSACHILAS-SANTO DOMINGO, PICHINCHA-QUITO, EL ORO-MACHALA, GUAYAS-GUAYAQUIL, MANABI-MANTA, CARCHI-TULCAN, EL ORO-HUAQUILLAS, ESMERALDAS-ESMERALDAS, ESMERALDAS-SAN LORENZO, IMBABURA-IBARRA, SUCUMBIOS-LAGO AGRIO</t>
  </si>
  <si>
    <t>Asistencias reasentamiento</t>
  </si>
  <si>
    <t>10Z03 No. de personas por las cuales ACNUR trabaja identificadas para reasentamiento que reciben asistencia para el proceso</t>
  </si>
  <si>
    <t>10Z04 No. de personas por las cuales ACNUR trabaja que reciben transferencias monetarias(Categoría: Reasentamiento)</t>
  </si>
  <si>
    <t>10Z05 No. de hogares que reciben transferencias monetarias(Categoría: Reasentamiento)</t>
  </si>
  <si>
    <t>10Z06 No. de transferencias monetarias realizadas(Categoría: Reasentamiento)</t>
  </si>
  <si>
    <t>1.1.1 Información y orientación es proporcionada según protocolos efectivos para la identificación y derivación de personas con necesidad de protección internacional en los puntos de entrada y tránsito.</t>
  </si>
  <si>
    <t>Fortalecimiento de capacidades de funcionarios en redes de protección</t>
  </si>
  <si>
    <t>10001 No. de funcionarios de migración capacitados en estándares internacionales de protección</t>
  </si>
  <si>
    <t>ESMERALDAS-SAN LORENZO, ESMERALDAS-ESMERALDAS, IMBABURA-IBARRA, CARCHI-TULCAN, SUCUMBIOS-LAGO AGRIO, EL ORO-HUAQUILLAS, EL ORO-MACHALA, GUAYAS-GUAYAQUIL, AZUAY-CUENCA, MANABI-MANTA, TUNGURAHUA-AMBATO, PICHINCHA-QUITO, STO DGO TSACHILAS-SANTO DOMINGO</t>
  </si>
  <si>
    <t>Hospedaje y alimentación</t>
  </si>
  <si>
    <t>ESMERALDAS-SAN LORENZO, ESMERALDAS-ESMERALDAS, IMBABURA-IBARRA, CARCHI-TULCAN, SUCUMBIOS-LAGO AGRIO, MANABI-JUNIN, STO DGO TSACHILAS-SANTO DOMINGO, TUNGURAHUA-AMBATO</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</si>
  <si>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</si>
  <si>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Funcionarios públicos capacitados en protección de la niñez</t>
  </si>
  <si>
    <t>10703 No. de personas de instituciones capacitadas(Categoría: Protección de niñez y adolescencia)</t>
  </si>
  <si>
    <t>ESMERALDAS-SAN LORENZO, ESMERALDAS-ESMERALDAS, IMBABURA-IBARRA, CARCHI-TULCAN, SUCUMBIOS-LAGO AGRIO, ESMERALDAS-SAN LORENZO, ESMERALDAS-ESMERALDAS, IMBABURA-IBARRA, CARCHI-TULCAN, SUCUMBIOS-LAGO AGRIO, EL ORO-HUAQUILLAS, EL ORO-MACHALA, GUAYAS-GUAYAQUIL, AZUAY-CUENCA, MANABI-MANTA, TUNGURAHUA-AMBATO, PICHINCHA-QUITO, STO DGO TSACHILAS-SANTO DOMINGO</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</si>
  <si>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</si>
  <si>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Gestión de casos GBV</t>
  </si>
  <si>
    <t>CARCHI-TULCAN, ESMERALDAS-ESMERALDAS, ESMERALDAS-SAN LORENZO, IMBABURA-IBARRA, ORELLANA-ORELLANA, ESMERALDAS-SAN LORENZO, ESMERALDAS-ESMERALDAS, IMBABURA-IBARRA, CARCHI-TULCAN, SUCUMBIOS-LAGO AGRIO, EL ORO-HUAQUILLAS, EL ORO-MACHALA, GUAYAS-GUAYAQUIL, AZUAY-CUENCA, MANABI-MANTA, TUNGURAHUA-AMBATO, PICHINCHA-QUITO, STO DGO TSACHILAS-SANTO DOMINGO</t>
  </si>
  <si>
    <t>Atención psicosocial general</t>
  </si>
  <si>
    <t>IMBABURA-IBARRA, SUCUMBIOS-LAGO AGRIO, ORELLANA-ORELLANA, ESMERALDAS-SAN LORENZO, ESMERALDAS-ESMERALDAS, IMBABURA-IBARRA, CARCHI-TULCAN, SUCUMBIOS-LAGO AGRIO, EL ORO-HUAQUILLAS, EL ORO-MACHALA, GUAYAS-GUAYAQUIL, AZUAY-CUENCA, MANABI-MANTA, TUNGURAHUA-AMBATO, PICHINCHA-QUITO, STO DGO TSACHILAS-SANTO DOMINGO</t>
  </si>
  <si>
    <t>1.5.3 Los mecanismos de protección basada en la comunidad (CBP) para prevenir, mitigar riesgos y responder a la violencia de género son fortalecidos.</t>
  </si>
  <si>
    <t>Acciones de prevención VBG e igualdad de género (talleres/sensibilización)</t>
  </si>
  <si>
    <t>10D01 No. de personas por las cuales ACNUR trabaja y de comunidad de acogida capacitadas(Categoría: Prevención, mitigación y respuesta a la VBG)</t>
  </si>
  <si>
    <t>IMBABURA-IBARRA, SUCUMBIOS-LAGO AGRIO, ORELLANA-ORELLANA, ESMERALDAS-SAN LORENZO, ESMERALDAS-ESMERALDAS, IMBABURA-IBARRA, CARCHI-TULCAN, SUCUMBIOS-LAGO AGRIO, ESMERALDAS-SAN LORENZO, ESMERALDAS-ESMERALDAS, IMBABURA-IBARRA, CARCHI-TULCAN, SUCUMBIOS-LAGO AGRIO, EL ORO-HUAQUILLAS, EL ORO-MACHALA, GUAYAS-GUAYAQUIL, AZUAY-CUENCA, MANABI-MANTA, TUNGURAHUA-AMBATO, PICHINCHA-QUITO, STO DGO TSACHILAS-SANTO DOMINGO</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</si>
  <si>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</si>
  <si>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NNA identificados</t>
  </si>
  <si>
    <t>IMBABURA-IBARRA, CARCHI-TULCAN, PICHINCHA-QUITO</t>
  </si>
  <si>
    <t>Evaluación de interés superior</t>
  </si>
  <si>
    <t>10G03 No. de niños, niñas y adolescentes no acompañados, separados y en situación de mayor riesgo para los que se ha iniciado la evaluación del interés superior</t>
  </si>
  <si>
    <t>1.6.3 Los niños y adolescentes no acompañados, separados o en riesgo por los cuales ACNUR trabaja participan en actividades de protección basadas en la comunidad.</t>
  </si>
  <si>
    <t>Capacitación en protección de niñez y adolescencia</t>
  </si>
  <si>
    <t>ESMERALDAS-SAN LORENZO, ESMERALDAS-ESMERALDAS, IMBABURA-IBARRA, CARCHI-TULCAN, SUCUMBIOS-LAGO AGRIO, GUAYAS-GUAYAQUIL, MANABI-MANTA, TUNGURAHUA-AMBATO, PICHINCHA-QUITO, STO DGO TSACHILAS-SANTO DOMINGO</t>
  </si>
  <si>
    <t>Capacitación a educadores y formación en apoyo psicosocial, bienestar emocional y autocuidado a docentes en el marco de ECW</t>
  </si>
  <si>
    <t>3.2.1 Las personas por las cuales ACNUR trabaja  son apoyadas para que tengan acceso a servicios financieros y  recursos productivos para responder a las necesidades tanto inmediatas como a largo plazo.</t>
  </si>
  <si>
    <t>Procesos de educación financiera</t>
  </si>
  <si>
    <t>11202 No. de personas por las cuales ACNUR trabaja que finalizan procesos de educación financiera</t>
  </si>
  <si>
    <t>ESMERALDAS-SAN LORENZO, ESMERALDAS-ESMERALDAS, IMBABURA-IBARRA, CARCHI-TULCAN, SUCUMBIOS-LAGO AGRIO, GUAYAS-GUAYAQUIL</t>
  </si>
  <si>
    <t xml:space="preserve">Capacitaciones vocacionales - agronegocios </t>
  </si>
  <si>
    <t>Apoyo al Consumo MDG</t>
  </si>
  <si>
    <t>11401 No. de personas por las cuales ACNUR trabaja que reciben transferencias monetarias(Categoría: Apoyo al consumo MDG)</t>
  </si>
  <si>
    <t>SUCUMBIOS-LAGO AGRIO, TUNGURAHUA-AMBATO, STO DGO TSACHILAS-SANTO DOMINGO, PICHINCHA-QUITO, EL ORO-MACHALA</t>
  </si>
  <si>
    <t>11402 No. de transferencias monetarias realizadas(Categoría: Apoyo al consumo MDG)</t>
  </si>
  <si>
    <t>11403 No. de hogares que reciben transferencias monetarias(Categoría: Apoyo al consumo MDG)</t>
  </si>
  <si>
    <t>SUCUMBIOS-LAGO AGRIO, SUCUMBIOS-LAGO AGRIO, TUNGURAHUA-AMBATO, STO DGO TSACHILAS-SANTO DOMINGO, PICHINCHA-QUITO, EL ORO-MACHALA</t>
  </si>
  <si>
    <t>Capitales semilla MDG, Agronegocios</t>
  </si>
  <si>
    <t>11408 No. de personas por las cuales ACNUR trabaja que reciben transferencias monetarias(Categoría: Capital financiero)</t>
  </si>
  <si>
    <t>SUCUMBIOS-LAGO AGRIO, SUCUMBIOS-LAGO AGRIO, SUCUMBIOS-LAGO AGRIO, TUNGURAHUA-AMBATO, STO DGO TSACHILAS-SANTO DOMINGO, PICHINCHA-QUITO, EL ORO-MACHALA</t>
  </si>
  <si>
    <t>11409 No. de transferencias monetarias realizadas(Categoría: Capital financiero)</t>
  </si>
  <si>
    <t>SUCUMBIOS-LAGO AGRIO, SUCUMBIOS-LAGO AGRIO, SUCUMBIOS-LAGO AGRIO, SUCUMBIOS-LAGO AGRIO, TUNGURAHUA-AMBATO, STO DGO TSACHILAS-SANTO DOMINGO, PICHINCHA-QUITO, EL ORO-MACHALA, GUAYAS-GUAYAQUIL, MANABI-MANTA</t>
  </si>
  <si>
    <t>11410 No. de hogares que reciben transferencias monetarias(Categoría: Capital financiero)</t>
  </si>
  <si>
    <t>SUCUMBIOS-LAGO AGRIO, SUCUMBIOS-LAGO AGRIO, SUCUMBIOS-LAGO AGRIO, SUCUMBIOS-LAGO AGRIO, SUCUMBIOS-LAGO AGRIO, TUNGURAHUA-AMBATO, STO DGO TSACHILAS-SANTO DOMINGO, PICHINCHA-QUITO, EL ORO-MACHALA, GUAYAS-GUAYAQUIL, MANABI-MANTA</t>
  </si>
  <si>
    <t>Apoyo a emprendedores a través de la organización de ferias</t>
  </si>
  <si>
    <t>CARCHI-TULCAN, IMBABURA-IBARRA, ESMERALDAS-ESMERALDAS, GUAYAS-GUAYAQUIL</t>
  </si>
  <si>
    <t>Talleres para el fortalecimiento de capacidades del sector privado y público</t>
  </si>
  <si>
    <t>11702 No. de funcionarios y/o personal de instituciones públicas, privadas y de la sociedad civil, capacitados y sensibilizados en la inclusión socioeconómica de personas por las cuales ACNUR trabaja</t>
  </si>
  <si>
    <t>ESMERALDAS-SAN LORENZO, ESMERALDAS-ESMERALDAS, IMBABURA-IBARRA, CARCHI-TULCAN, SUCUMBIOS-LAGO AGRIO</t>
  </si>
  <si>
    <t>Fortalecimiento de capacidades de personas de interés en temas de protección</t>
  </si>
  <si>
    <t>MANABI-MANTA, PICHINCHA-QUITO, STO DGO TSACHILAS-SANTO DOMINGO, TUNGURAHUA-AMBATO</t>
  </si>
  <si>
    <t>Entrega de kits educativos</t>
  </si>
  <si>
    <t>AZUAY-CUENCA, EL ORO-MACHALA, EL ORO-HUAQUILLAS</t>
  </si>
  <si>
    <t>Referencias respiramos inclusión</t>
  </si>
  <si>
    <t>Apoyo psicosocial y pedagógico a niñas, niños y adolescentes</t>
  </si>
  <si>
    <t>Apoyo psicopedagógico a cuidadores para reforzar la importancia de la educación en las niñas y las adolescentes</t>
  </si>
  <si>
    <t>Matrícula UE</t>
  </si>
  <si>
    <t>Capacitaciones Respiramos Inclusión</t>
  </si>
  <si>
    <t>EL ORO-HUAQUILLAS, AZUAY-CUENCA, EL ORO-MACHALA, EL ORO-HUAQUILLAS</t>
  </si>
  <si>
    <t>3.2.2 Las personas por las cuales ACNUR trabaja son apoyadas para que tengan habilidades adecuadas y/o reconocidas para desempeñarse en los mercados laborales y comerciales.</t>
  </si>
  <si>
    <t>Certificación en capacitación técnica y vocacional</t>
  </si>
  <si>
    <t>EL ORO-MACHALA, GUAYAS-GUAYAQUIL, PICHINCHA-QUITO, STO DGO TSACHILAS-SANTO DOMINGO, TUNGURAHUA-AMBATO</t>
  </si>
  <si>
    <t>EL ORO-MACHALA, GUAYAS-GUAYAQUIL, MANABI-MANTA</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</si>
  <si>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</si>
  <si>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Formación de promotores comunitarios  y misiones comunitarias</t>
  </si>
  <si>
    <t>AZUAY-CUENCA, MANABI-MANTA, PICHINCHA-QUITO, TUNGURAHUA-AMBATO, STO DGO TSACHILAS-SANTO DOMINGO</t>
  </si>
  <si>
    <t>PICHINCHA-QUITO, TUNGURAHUA-AMBATO, STO DGO TSACHILAS-SANTO DOMINGO</t>
  </si>
  <si>
    <t>3.4.3 A través de proyectos comunitarios, las personas por las cuales ACNUR trabaja tienen acceso a espacios comunitarios, servicios e infraestructuras sostenibles</t>
  </si>
  <si>
    <t>Iniciativas comunitarias</t>
  </si>
  <si>
    <t>11B02 No. de infraestructuras comunitarias construidas, mejoradas o equipadas</t>
  </si>
  <si>
    <t>PICHINCHA-QUITO, TUNGURAHUA-AMBATO, STO DGO TSACHILAS-SANTO DOMINGO, MANABI-MANTA</t>
  </si>
  <si>
    <t>1.4.2 Las personas por las cuales ACNUR trabaja reciben orientación y apoyo adecuados para acceder al proceso de regularización migratoria y a la documentación.</t>
  </si>
  <si>
    <t>Provisión de servicios de información, orientación y asistencia legal en RSD y OFR, a través de atención en oficinas, canales digitales, sesiones informativas, brigadas, jornadas de atención en comunidades y escritorios móviles</t>
  </si>
  <si>
    <t>AZUAY-CUENCA, CARCHI-TULCAN, EL ORO-HUAQUILLAS, ESMERALDAS-ESMERALDAS, GUAYAS-GUAYAQUIL, IMBABURA-IBARRA, MANABI-MANTA, ORELLANA-ORELLANA, PICHINCHA-QUITO, STO DGO TSACHILAS-SANTO DOMINGO, SUCUMBIOS-LAGO AGRIO, TUNGURAHUA-AMBATO</t>
  </si>
  <si>
    <t xml:space="preserve">Entregas de efectivo condicionado para tramitación y obtención de documentación y movilización para RSD, OFR y otros procesos de documentación civil </t>
  </si>
  <si>
    <t>10902 No. de personas por las cuales ACNUR trabaja que reciben transferencias monetarias(Categoría: Documentación)</t>
  </si>
  <si>
    <t>10903 No. de hogares que reciben transferencias monetarias(Categoría: Documentación)</t>
  </si>
  <si>
    <t>10904 No. de transferencias monetarias realizadas(Categoría: Documentación)</t>
  </si>
  <si>
    <t xml:space="preserve">Registro de personas de interés atendidas por NRC en atención directa en oficina, escritorios móviles o canales telefónicos. </t>
  </si>
  <si>
    <t>Indicador prestado del output 2.3.1</t>
  </si>
  <si>
    <t xml:space="preserve">Provisión de servicios de información sobre servicios de protección a personas en puntos de entrada o en tránsito. </t>
  </si>
  <si>
    <t>Actividad 1.1. Formalización a 10 emprendedores del Programa Capital Emprendedor Sin Fronteras que recibieron capital semilla y un proceso de fortalecimiento, para que puedan intregarse al proceso de vinculación al mercado.
Actividad 1.2. Desarrollo e implementación de 1 vitrina digital.
Actividad 1.3. Vinculación de 120 emprendimientos a la vitrina digtial.
Actividad 1.4. Seguimiento y acompañmiento técnico y especializado a 60 emprendedores en: estructura de costos, estrategia de trade marketing.
Actividad 1.5. Seguimiento y monitorio a 60 emprendimientos que han sido vicnulados en las tiendas aliadas de ACNUR en la inicitiva Compra con Propósito.</t>
  </si>
  <si>
    <t>PICHINCHA-QUITO</t>
  </si>
  <si>
    <t>Actividad 2.1. Renovación de la platafomra Hiring Room Empresarial y Hiring Room Campus
Actividad  2.2. Ejecución de 3 talleres de capacitación a formadores en el taller Clínica del CV.
Actividad 2.3. Elaboración de 12 sesiones (1 mensual) informativas a los puntos focales de ACNUR de las oficinas de territorio, sonbre las tedencias de contratación del mercado.
Actividad 2.4. Direccionamiento de 600 perfiles (50 mensuales) fortalecidos y capacitados a través de las Clínicas del CV a las empresas aliadas de ACNUR y Sin Fronteras.</t>
  </si>
  <si>
    <t>11404 No. de personas por las cuales ACNUR trabaja que reciben orientación para el empleo</t>
  </si>
  <si>
    <t>Actividad 3.1. Capacitación a las 60 empresas que recibieron el reconocimiento Sello Empresa Inclusiva en el uso de la bolsa de empleo.
Actividad 3.2. Co-lanzamiento e implementación de la segunda edición del Sello Empresa Inclusiva
Actividad 3.3. Elaboración de 3 eventos de difusión y sensibilización para incluir más empresas a la Red de Aliados de Empresas con Personas Refugiadas. Esto se hará por medio de eventos de promoción de emprendimiento y empleabilidad y fortalecimiento de alianzas. 
Actividad 3.4. Elaboración e  implementación de la estrategia de implementación del Sello Empresa Inclusiva.</t>
  </si>
  <si>
    <t>11601 No. de productos de visibilidad y sensibilización generados para el ejercicio de derechos laborales y de inclusión económica en medios de vida</t>
  </si>
  <si>
    <t>Construcción de un modelo de gestión de alojamiento temporal</t>
  </si>
  <si>
    <t>AZUAY-CUENCA</t>
  </si>
  <si>
    <t xml:space="preserve">Se focalizan a lo largo de la implementación de las actividades del proyecto </t>
  </si>
  <si>
    <t>GUAYAS-GUAYAQUIL, AZUAY-CUENCA, MANABI-MANTA, MANABI-PORTOVIEJO</t>
  </si>
  <si>
    <t>Capacitaciones técnicas certificadas</t>
  </si>
  <si>
    <t>MANABI-MANTA, MANABI-PORTOVIEJO</t>
  </si>
  <si>
    <t xml:space="preserve">Ejecución de talleres de formación en distintas áreas laborales con empresas  y entrega de CBI a los participantes de los talleres. </t>
  </si>
  <si>
    <t>11306 No. de personas por las cuales ACNUR trabaja que reciben transferencias monetarias(Categoría: Cash for training)</t>
  </si>
  <si>
    <t>AZUAY-CUENCA, MANABI-MANTA, MANABI-PORTOVIEJO</t>
  </si>
  <si>
    <t>11308 No. de hogares que reciben transferencias monetarias(Categoría: Cash for training)</t>
  </si>
  <si>
    <t>11307 No. de transferencias monetarias realizadas(Categoría: Cash for training)</t>
  </si>
  <si>
    <t xml:space="preserve">FUMA: Entrega de CBI como capital de incubación / Entrega de CBI como capital de fortalecimiento / Entrega de CBI a emprendimientos ya instalados 
FUCU:  Entrega de CBI a emprendimientos eco innovadores / Entrega de CBI a emprendimientos </t>
  </si>
  <si>
    <t>3.2.4 Las personas por las cuales ACNUR trabaja reciben apoyo para participar en economías circulares, acceder a empleos verdes y promover el emprendimiento verde</t>
  </si>
  <si>
    <t>FUMA: Entrega de CBI a emprendimientos ecoinnovadores  (economía circular)
FUCU:  Entrega de CBI a emprendimientos ecoinnovadores  (economía circular)</t>
  </si>
  <si>
    <t>11505 No. de hogares que reciben transferencias monetarias(Categoría: Economía circular)</t>
  </si>
  <si>
    <t>11503 No. de personas por las cuales ACNUR trabaja que reciben transferencias monetarias(Categoría: Economía circular)</t>
  </si>
  <si>
    <t>11504 No. de transferencias monetarias realizadas(Categoría: Economía circular)</t>
  </si>
  <si>
    <t>Campañas de sensibilización y brigadas</t>
  </si>
  <si>
    <t>Fortalecimiento de líderes comunitarios a través de la ejecución de talleres de salud y de Gestión de Riesgos y entrega de equipamieno</t>
  </si>
  <si>
    <t>11A03 No. de personas por las cuales ACNUR trabaja involucradas en diagnósticos participativos</t>
  </si>
  <si>
    <t>Adecuación, mejoras y/o equipamiento de centros comunitarios y espacios públicos</t>
  </si>
  <si>
    <t>Se fortalece la capacidad de las personas de interés y las redes comunitarias para identificar riesgos, buscar soluciones e influir en las políticas públicas a través de las Escuelas de Liderazgo 
Planes de gestión de riesgo en 2 localidades.   
Se genera procesos de integración y coexistencia pacifica en comunidades intervneidas y priorizdas, proyectos contra la xenofobia y protección comunitaria.</t>
  </si>
  <si>
    <t>GUAYAS-DURAN, GUAYAS-GUAYAQUIL, EL ORO-HUAQUILLAS</t>
  </si>
  <si>
    <t>Se fortalece la capacidad de las personas de interés y las redes comunitarias para identificar riesgos, buscar soluciones e influir en las políticas públicas a través de las Escuelas de Liderazgo 
Planes de gestión de riesgo en 2 localidades.</t>
  </si>
  <si>
    <t>GUAYAS-DURAN, GUAYAS-GUAYAQUIL</t>
  </si>
  <si>
    <t>Se fortalecen procesos de coexistencia pacifica implementados en comunidad: Canotaje por la integración, Danza folcklorica Venezolana, Reciclaje Comunitario, Reporteros juveniles comunitarios en comunidades de intervención</t>
  </si>
  <si>
    <t>Talleres recreativos y de aprendizaje dirigido a niños, niñas y adolescentes</t>
  </si>
  <si>
    <t>EL ORO-HUAQUILLAS</t>
  </si>
  <si>
    <t>Campañas comunicacionales producidas por el CDH para redes sociales que incluyan la elaboración de diseños gráficos.</t>
  </si>
  <si>
    <t>11E01 No. de usuarios alcanzados a través de redes sociales nacionales</t>
  </si>
  <si>
    <t>GUAYAS-GUAYAQUIL</t>
  </si>
  <si>
    <t>11E02 No. de productos de prensa nacional que mencionan al ACNUR</t>
  </si>
  <si>
    <t>Se realiza Paradas informativas contra el cambio climático y contra la xenofobia.
Encuentros agroecológicos "Cosechando Resiliencias"
Eventos Comunitarios emblemtáicos
Eventos de incidencia publica contra la xenofobia en espacios del centro de la ciudad
Eventos de Lanzamiento Planes de Riesgos comunitarios</t>
  </si>
  <si>
    <t>11F02 No. de eventos realizados</t>
  </si>
  <si>
    <t>EL ORO-HUAQUILLAS, GUAYAS-GUAYAQUIL</t>
  </si>
  <si>
    <t xml:space="preserve"> Entrega de kits educativos</t>
  </si>
  <si>
    <t>Se fortalece los procesos de apoyo pedagógico en comunidades de intervención y acompañamiento para el acceso educativo y la no deserción escolar</t>
  </si>
  <si>
    <t>Se realiza talleres vivenciales dirigidos a cuidadores de NNA sobre estilos de aprendizaje; crianza; educación y género, para concientizar la importancia de la educación en el desarrollo y en las niñas.</t>
  </si>
  <si>
    <t>Se realiza encuentros comunitarios para la inclusión educativa en articulación con MINEDUC con el objetivo de sensibilizar y fortalecer las capacidades técnicas en relación al acceso al sistema educativo público ecuatoriano, y recordar a los DECES locales el cumplimiento del Acuerdo 26A, fortaleciendo así las  vías de implementación y seguimiento en las UE</t>
  </si>
  <si>
    <t>Se coordina con las unidades educativas participantes jornadas formativas dirigidas a actores claves de la comunidad, con el objetivo de replicar los contenidos del programa Respiramos Inclusión. Las temáticas de dichas formaciones se concretarán a partir de los resultados de un diagnóstico participativo que los equipos dinamizadores implementan para conocer situaciones de mejora en relación a procesos de inclusión.</t>
  </si>
  <si>
    <t>Se planifica y ejecuta diagnósticos participativos con el que los equipos dinamizadores puedan identificar situaciones problemáticas a atender a través de acciones estratégicas enmarcadas en la metodología de Respiramos Inclusión.</t>
  </si>
  <si>
    <t xml:space="preserve">Se establece un mecanismo permanente con MINEDUC para derivación, así como el monitoreo, identificación, denuncia y seguimiento de casos de vulneración de derechos a infancia encontrados en la intervención comunitaria a través de los puntos de apoyo o en general. </t>
  </si>
  <si>
    <t xml:space="preserve">Se capacita a comunidad educativa, funcionarios, profesoresy DECES prodcuto de lo cual se incrpora enfoques de derechos y no discrimación producto de la implementación de la Metodología Respiramos Inclusión </t>
  </si>
  <si>
    <t>Acogida en espacio seguro a sobrevivientes VBG</t>
  </si>
  <si>
    <t>10B01 No. de personas sobrevivientes de VBG por las cuales ACNUR trabaja admitidas en casas de acogida para su protección</t>
  </si>
  <si>
    <t>EL ORO-MACHALA</t>
  </si>
  <si>
    <t>Atención integral a sobrevivientes VBG</t>
  </si>
  <si>
    <t>Asistencia legal a sobrevivientes VBG</t>
  </si>
  <si>
    <t>Trabajo comunitario.
Capacitaciones.
Identificación de casos.</t>
  </si>
  <si>
    <t>Escuela de liderazgo</t>
  </si>
  <si>
    <t>Asistencia a personas de interés mediante la atención en el centro de alojamiento temporal.</t>
  </si>
  <si>
    <t>Entrega de insumos esenciales de aseo o kits higiene a personas de interés en el centro de alojamiento temporal o espacio de apoyo integral.</t>
  </si>
  <si>
    <t>10W04 No. de personas por las cuales ACNUR trabaja que reciben kits de higiene(Categoría: Dignidad)</t>
  </si>
  <si>
    <t>Entrega de insumos esenciales de aseo o kits de bebe a personas de interés en el centro de alojamiento temporal o espacio de apoyo integral.</t>
  </si>
  <si>
    <t>10W03 No. de personas por las cuales ACNUR trabaja que reciben kits de higiene(Categoría: Bebé)</t>
  </si>
  <si>
    <t>Identificación de casos de adolescentes no acompañados y separados que se refieren para la atención especializada.</t>
  </si>
  <si>
    <t>Ejecución de talleres de sensilización presenciales con representantes del sector empresarial privado.
Ejecución de ferias de empleo presenciales y virtuales con representantes del sector empresarial privado.
Relacionamiento con el sector privado para la implementación de actividades.</t>
  </si>
  <si>
    <t>11701 No. instituciones de los sectores público o privado, u organizaciones de la sociedad civil que cooperan para la inclusión económica de personas por las cuales ACNUR trabaja</t>
  </si>
  <si>
    <t>Ejecución de talleres de sensilización presenciales con representantes del sector empresarial privado.</t>
  </si>
  <si>
    <t>Ejecución de talleres de sensilización presenciales con representantes del sector empresarial privado.
Ejecución de ferias de empleo presenciales y virtuales con representantes del sector empresarial privado.</t>
  </si>
  <si>
    <t>Ejecución de ferias de empleo presenciales y virtuales con representantes del sector empresarial privado (60).
Relacionamiento con el sector privado para la implementación de actividades (50).</t>
  </si>
  <si>
    <t>11406 No. de personas por las cuales ACNUR trabaja que finalizan programas de MdV</t>
  </si>
  <si>
    <t>Fortalecer las capacidades de proveedores de servicios de protección y garantes de derechos</t>
  </si>
  <si>
    <t>10701 No. de personas de instituciones capacitadas(Categoría: Prevención, mitigación y respuesta a la VBG)</t>
  </si>
  <si>
    <t>LOJA-PINDAL</t>
  </si>
  <si>
    <t>Identificación y referencia de casos de protección a la infancia</t>
  </si>
  <si>
    <t>Identificación y referencia de casos de víctimas de VBG</t>
  </si>
  <si>
    <t xml:space="preserve">Elaborar diagnósticos participativos para identificar vacíos de protección, construcción de estrategia y plan de acción </t>
  </si>
  <si>
    <t>Promotores comunitarios de prevención de VBG que están contribuyendo en sus comunidades con acciones concretas</t>
  </si>
  <si>
    <t>Actualización de rutas de protección con delegados de comunidades , ferias de socilaización de rutas de protección</t>
  </si>
  <si>
    <t>Fortalecer las capacidades de cuidadores, padres, madres de familia para desarrollar habilidades en crianza positiva</t>
  </si>
  <si>
    <t>Identificación y referencia de casos de víctimas de NNA.
REGISTRO EN PROGRESS CON EL MINIMO CONJUNTO DE INFORMACIÓN</t>
  </si>
  <si>
    <t>10K01 No. de niños y adolescentes con necesidades específicas de protección identificados y remitidos a servicios de protección</t>
  </si>
  <si>
    <t>infraestructuras comunitarias y espacios públicos mejoradas/intervenidas</t>
  </si>
  <si>
    <t>Entrevista realizada a NNA no acompañados y separados</t>
  </si>
  <si>
    <t>Entrevisa, visita domiciliaria y seguimiento realizado a NNA no acompañados y separados</t>
  </si>
  <si>
    <t>Entrega asistencia movilización</t>
  </si>
  <si>
    <t>10G04 No. de personas por las cuales ACNUR trabaja que reciben transferencias monetarias(Categoría: Protección de niñez y adolescencia)</t>
  </si>
  <si>
    <t>10G06 No. de transferencias monetarias realizadas(Categoría: Protección de niñez y adolescencia)</t>
  </si>
  <si>
    <t>Gestión del albergue de Fundación Equidad</t>
  </si>
  <si>
    <t>Construcción de un modelo de gestión de alojamientos temporales</t>
  </si>
  <si>
    <t>10102 No. de infraestructuas de albergues/alojamientos temporales construidos, mejorados o equipados</t>
  </si>
  <si>
    <t>Apoyo con asistencia en efectivo para las personas que son parte de las formaciones prácticas con empresas</t>
  </si>
  <si>
    <t xml:space="preserve">Fortalecimiento de líderes comunitarios a través de la implementación de comunidades protectoras, saludables y preparadas. </t>
  </si>
  <si>
    <t>PICHINCHA-QUITO, STO DGO TSACHILAS-SANTO DOMINGO</t>
  </si>
  <si>
    <t xml:space="preserve">Desarrollo de capañanas informativas de regularización, acceso a servicios de información de derechos </t>
  </si>
  <si>
    <t>PICHINCHA-QUITO, PICHINCHA-QUITO, STO DGO TSACHILAS-SANTO DOMINGO</t>
  </si>
  <si>
    <t>Fortalecimiento de líderes comunitarios a través de la ejecución de talleres de salud y de Gestión de Riesgos y entrega de equipamiento</t>
  </si>
  <si>
    <t>STO DGO TSACHILAS-SANTO DOMINGO</t>
  </si>
  <si>
    <t>COMPONENTE 1. 
PROGRAMA APRENDIENDO A EMPRENDER 
Fase I. Ideación y Preincubación De Emprendimientos 
Las personas de interés reciben asistencia para establecer y operar negocios y hay oportunidades accesibles para ser empleados en mercados que son inclusivos.</t>
  </si>
  <si>
    <t>11407 No. de personas por las cuales ACNUR trabaja que finalizan capacitación empresarial/de negocios</t>
  </si>
  <si>
    <t>TUNGURAHUA-AMBATO</t>
  </si>
  <si>
    <t>COMPONENTE 1. 
PROGRAMA APRENDIENDO A EMPRENDER
Implementación metodología emprendimientos “verdes” (economía circular)
Las personas de interés reciben apoyo para participar en economías circulares, acceder a empleos verdes y promover el emprendimiento verde. (Markers)</t>
  </si>
  <si>
    <t>11501 No. de personas por las cuales ACNUR trabaja comprometidas o empleadas en iniciativas ecológicas</t>
  </si>
  <si>
    <t>COMPONENTE 1. 
ESCUELA CONTINUA DE EMPRENDIMIENTO	
Taller de Educación Financiera
Las personas de interés son apoyadas para que tengan el acceso igualitario a los servicios financieros y los recursos productivos para responder a las necesidades tanto inmediatas como a largo plazo.</t>
  </si>
  <si>
    <t>COMPONENTE 1. 
ESCUELA CONTINUA DE EMPRENDIMIENTO	
Taller de asesoría legal y normativas
Las personas de interés reciben asistencia para establecer y operar negocios y hay oportunidades accesibles para ser empleados en mercados que son inclusivos.</t>
  </si>
  <si>
    <t>COMPONENTE 3. 
Circuitos de comercialización y networking
Programa de espacios comerciales ZIGZY
Programa perchas inclusivas y circuitos de comercialización.</t>
  </si>
  <si>
    <t>Brindar albergue temporal seguro, alimentación y asistencia psicosocial a población en movilidad humana mayoritariamente de nacionalidad venezolana y colombiana. con altos índices de vulnerabilidad, acogidas en el albergue temporal seguro “Hogar Madre”</t>
  </si>
  <si>
    <t>Personas de comunidad de acogida que participan en acciones de integración y construcción de redes comunitarias relacionadas con el albergue La Argelia a través de talleres, ferias y eventos organizados por el albergue. Dichas acciones incluyen también a personas en busca de protección internacional  que se encuentren en el Albergue.</t>
  </si>
  <si>
    <t>Traslado, alojamiento y alimentación a 600 personas de forma temporal al albergue Miraflores para poder proceder con seguridad y dignidad en sus entrevistas con los países de reasentamiento</t>
  </si>
  <si>
    <t xml:space="preserve">Certificación por competencias laborales /  Seguimiento y fortalecimiento de Ex - A Ganar para la inserción positiva (empleablidad, autoempleo, emprendimeinto, educación) </t>
  </si>
  <si>
    <t>Seguimiento y fortalecimiento de Población capacitada para negocios y emprendimientos para mejorar sus capacidades emprendedoras (GAD- Provincial)</t>
  </si>
  <si>
    <t>Becas educativas de tercer nivel</t>
  </si>
  <si>
    <t xml:space="preserve">Campeones Comunitarios - Protección Comunitaria Espacios y capacidades locales fortalecidas, que promueven la integración; Cine Comunitario - Cine Club   </t>
  </si>
  <si>
    <t>Protección Comunitaria - Trabajo de base comuntaria con talleres Jóvenes y Adultos  para implementar proceso de fortalecimiento y liderazgo con procesos de acompañamiento para Diagnósticos comunitarios y Desarrollo de Planes Sociales; Talleres de Prevención - VBG  para adolescentes - Xenofobia - Género - Derechos Humanos - Sensibilización de EAS</t>
  </si>
  <si>
    <t>10Y01 No. de personas por las cuales ACNUR trabaja o de la comunidad de acogida que se benefician de los proyectos de acción climática</t>
  </si>
  <si>
    <t>indicator_code</t>
  </si>
  <si>
    <t>INDICADOR</t>
  </si>
  <si>
    <t>CATEGORIA</t>
  </si>
  <si>
    <t>Declaraciones de producto</t>
  </si>
  <si>
    <t>10001</t>
  </si>
  <si>
    <t>No. de funcionarios de migración capacitados en estándares internacionales de protección</t>
  </si>
  <si>
    <t>10002</t>
  </si>
  <si>
    <t>No. de personas por las cuales ACNUR trabaja informadas y orientadas a servicios de protección</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</si>
  <si>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</si>
  <si>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</si>
  <si>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</si>
  <si>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</si>
  <si>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</si>
  <si>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</si>
  <si>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10103</t>
  </si>
  <si>
    <t>No. de personas de instituciones capacitadas</t>
  </si>
  <si>
    <t>Gestión de alojamientos temporales con enfoque de protección</t>
  </si>
  <si>
    <t>10104</t>
  </si>
  <si>
    <t>No. de personas por las cuales ACNUR trabaja atendidas/ayudadas en comedores apoyados por ACNUR</t>
  </si>
  <si>
    <t>10201</t>
  </si>
  <si>
    <t>No. de personas por las cuales ACNUR trabaja registradas individualmente con el mínimo conjunto de datos requerido</t>
  </si>
  <si>
    <t>En los puntos de entrada y tránsito</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</si>
  <si>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</si>
  <si>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</si>
  <si>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</si>
  <si>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</si>
  <si>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</si>
  <si>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</si>
  <si>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</si>
  <si>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</si>
  <si>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</si>
  <si>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</si>
  <si>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</si>
  <si>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</si>
  <si>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</si>
  <si>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</si>
  <si>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</si>
  <si>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</si>
  <si>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</si>
  <si>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</si>
  <si>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</si>
  <si>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</si>
  <si>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</si>
  <si>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</si>
  <si>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</si>
  <si>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</si>
  <si>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</si>
  <si>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</si>
  <si>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</si>
  <si>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</si>
  <si>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</si>
  <si>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</si>
  <si>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</si>
  <si>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</si>
  <si>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</si>
  <si>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</si>
  <si>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</si>
  <si>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</si>
  <si>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</si>
  <si>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10902</t>
  </si>
  <si>
    <t>No. de personas por las cuales ACNUR trabaja que reciben transferencias monetarias</t>
  </si>
  <si>
    <t>Documentación</t>
  </si>
  <si>
    <t>10903</t>
  </si>
  <si>
    <t>No. de hogares que reciben transferencias monetarias</t>
  </si>
  <si>
    <t>10904</t>
  </si>
  <si>
    <t>No. de transferencias monetarias realizadas</t>
  </si>
  <si>
    <t>10A01</t>
  </si>
  <si>
    <t>No. de personas por las cuales ACNUR trabaja que obtienen cédula de identidad con Registro Civil</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</si>
  <si>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</si>
  <si>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</si>
  <si>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</si>
  <si>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</si>
  <si>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</si>
  <si>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</si>
  <si>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</si>
  <si>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</si>
  <si>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General</t>
  </si>
  <si>
    <t>10C01</t>
  </si>
  <si>
    <t>10D01</t>
  </si>
  <si>
    <t>No. de personas por las cuales ACNUR trabaja y de comunidad de acogida capacitadas</t>
  </si>
  <si>
    <t>10F01</t>
  </si>
  <si>
    <t>PSEA</t>
  </si>
  <si>
    <t>10F02</t>
  </si>
  <si>
    <t>No. de socios con un plan PSEA de ACNUR mejorado e implementado</t>
  </si>
  <si>
    <t>10G01</t>
  </si>
  <si>
    <t>No. de niños, niñas y adolescentes no acompañados y separados identificados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</si>
  <si>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</si>
  <si>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</si>
  <si>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</si>
  <si>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</si>
  <si>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</si>
  <si>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</si>
  <si>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</si>
  <si>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</si>
  <si>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</si>
  <si>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</si>
  <si>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</si>
  <si>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</si>
  <si>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</si>
  <si>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</si>
  <si>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</si>
  <si>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</si>
  <si>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</si>
  <si>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</si>
  <si>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10L02</t>
  </si>
  <si>
    <t>No. de niños, niñas y adolescentes que reciben acompañamiento individual y acceden a la educación</t>
  </si>
  <si>
    <t>10L03</t>
  </si>
  <si>
    <t>10L04</t>
  </si>
  <si>
    <t>10L05</t>
  </si>
  <si>
    <t>10L06</t>
  </si>
  <si>
    <t>Apoyo psicosocial</t>
  </si>
  <si>
    <t>10L07</t>
  </si>
  <si>
    <t>No. de personas por las cuales ACNUR trabaja que reciben kits de conectividad</t>
  </si>
  <si>
    <t>10L08</t>
  </si>
  <si>
    <t>No. de estudiantes que son remitidos a servicios psicopedagógicos y otros servicios de protección</t>
  </si>
  <si>
    <t>10L09</t>
  </si>
  <si>
    <t>10M01</t>
  </si>
  <si>
    <t>No. de estudiantes beneficiados por la implementación de la metodología Respiramos Inclusión</t>
  </si>
  <si>
    <t>10M02</t>
  </si>
  <si>
    <t>Respiramos Inclusión</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</si>
  <si>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</si>
  <si>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</si>
  <si>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</si>
  <si>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</si>
  <si>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</si>
  <si>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</si>
  <si>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</si>
  <si>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</si>
  <si>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</si>
  <si>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</si>
  <si>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</si>
  <si>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</si>
  <si>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10O02</t>
  </si>
  <si>
    <t>No. de preservativos distribuidos</t>
  </si>
  <si>
    <t>10O03</t>
  </si>
  <si>
    <t>No. de personas opr las cuales ACNUR trabaja que se someten a la prueba del VIH</t>
  </si>
  <si>
    <t>10P01</t>
  </si>
  <si>
    <t>No. de promotores de salud apoyados</t>
  </si>
  <si>
    <t>10P02</t>
  </si>
  <si>
    <t>10Q01</t>
  </si>
  <si>
    <t>No. de personas por las cuales ACNUR trabaja registradas individualmente en proGres con el mínimo conjunto de datos requerido</t>
  </si>
  <si>
    <t>ACNUR, HIAS, NRC y PLAN</t>
  </si>
  <si>
    <t>10Q02</t>
  </si>
  <si>
    <t>No. de socios que utilizan una misma base de datos para registras a las personas por las cuales ACNUR trabaja</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</si>
  <si>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</si>
  <si>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</si>
  <si>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</si>
  <si>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</si>
  <si>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</si>
  <si>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</si>
  <si>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</si>
  <si>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</si>
  <si>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</si>
  <si>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</si>
  <si>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</si>
  <si>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</si>
  <si>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10S03</t>
  </si>
  <si>
    <t>No. de personas por las cuales ACNUR trabaja apoyadas con la construcción, mejoramiento de infraestructura o equipamiento de unidades habitacionales</t>
  </si>
  <si>
    <t>10S04</t>
  </si>
  <si>
    <t>No. de personas por las cuales ACNUR trabaja que reciben kits de habitabilidad o artículos básicos de vivienda</t>
  </si>
  <si>
    <t>10U01</t>
  </si>
  <si>
    <t>No. de productos de gestión de la información generados</t>
  </si>
  <si>
    <t>10W01</t>
  </si>
  <si>
    <t>Masculino</t>
  </si>
  <si>
    <t>10W02</t>
  </si>
  <si>
    <t>Femenino</t>
  </si>
  <si>
    <t>10W03</t>
  </si>
  <si>
    <t>Bebé</t>
  </si>
  <si>
    <t>10W04</t>
  </si>
  <si>
    <t>Dignidad</t>
  </si>
  <si>
    <t>10W05</t>
  </si>
  <si>
    <t>Personas en tránsito</t>
  </si>
  <si>
    <t>10X01</t>
  </si>
  <si>
    <t>Porcentaje de financiamiento alcanzado sobre presupuesto</t>
  </si>
  <si>
    <t>10X02</t>
  </si>
  <si>
    <t>No. de propuestas de proyectos presentadas a potenciales donantes</t>
  </si>
  <si>
    <t>10Y01</t>
  </si>
  <si>
    <t>No. de personas por las cuales ACNUR trabaja o de la comunidad de acogida que se benefician de los proyectos de acción climática</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</si>
  <si>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</si>
  <si>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</si>
  <si>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</si>
  <si>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</si>
  <si>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</si>
  <si>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</si>
  <si>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</si>
  <si>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</si>
  <si>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</si>
  <si>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</si>
  <si>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</si>
  <si>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</si>
  <si>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</si>
  <si>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</si>
  <si>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</si>
  <si>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</si>
  <si>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11202</t>
  </si>
  <si>
    <t>No. de personas por las cuales ACNUR trabaja que finalizan procesos de educación financiera</t>
  </si>
  <si>
    <t>11203</t>
  </si>
  <si>
    <t>No. de personas por las cuales ACNUR trabaja que abren cuentas bancaria</t>
  </si>
  <si>
    <t>11204</t>
  </si>
  <si>
    <t>Inclusión Financiera</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</si>
  <si>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</si>
  <si>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</si>
  <si>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</si>
  <si>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</si>
  <si>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</si>
  <si>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</si>
  <si>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</si>
  <si>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</si>
  <si>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</si>
  <si>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</si>
  <si>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</si>
  <si>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</si>
  <si>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</si>
  <si>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</si>
  <si>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</si>
  <si>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</si>
  <si>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</si>
  <si>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</si>
  <si>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</si>
  <si>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</si>
  <si>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</si>
  <si>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</si>
  <si>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</si>
  <si>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</si>
  <si>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</si>
  <si>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</si>
  <si>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</si>
  <si>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</si>
  <si>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</si>
  <si>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</si>
  <si>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</si>
  <si>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</si>
  <si>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</si>
  <si>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</si>
  <si>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</si>
  <si>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</si>
  <si>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</si>
  <si>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</si>
  <si>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</si>
  <si>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</si>
  <si>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</si>
  <si>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</si>
  <si>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</si>
  <si>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</si>
  <si>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</si>
  <si>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</si>
  <si>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</si>
  <si>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</si>
  <si>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</si>
  <si>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</si>
  <si>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</si>
  <si>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</si>
  <si>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</si>
  <si>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</si>
  <si>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11A01</t>
  </si>
  <si>
    <t>No. de organizaciones comunitarias involucradas en proyectos de coexistencia pacífica</t>
  </si>
  <si>
    <t>11A02</t>
  </si>
  <si>
    <t>11A03</t>
  </si>
  <si>
    <t>No. de personas por las cuales ACNUR trabaja involucradas en diagnósticos participativos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</si>
  <si>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</si>
  <si>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</si>
  <si>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</si>
  <si>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</si>
  <si>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</si>
  <si>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</si>
  <si>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</si>
  <si>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</si>
  <si>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</si>
  <si>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</si>
  <si>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</si>
  <si>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</si>
  <si>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</si>
  <si>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</si>
  <si>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</si>
  <si>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</si>
  <si>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</si>
  <si>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</si>
  <si>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</si>
  <si>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</si>
  <si>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</si>
  <si>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</si>
  <si>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</si>
  <si>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</si>
  <si>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</si>
  <si>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</si>
  <si>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1.4.1 Apoyo al Gobierno es proporcionado para la implementación de procesos efectivos de regularización y otras vías migratorias alternativas.</t>
  </si>
  <si>
    <t>1.4.3 Apoyo para fortalecer y ampliar sus procedimientos de documentación para personas por las cuales trabajamos es proporcionado a los servicios de registro civil.</t>
  </si>
  <si>
    <t>1.5.2 La aplicación de la ley sobre la violencia contra las mujeres (incluidas las que atiende el ACNUR) es promovida y reforzada por el ACNUR y sus socios.</t>
  </si>
  <si>
    <t>1.5.4 Los protocolos PSEA están vigentes y su implementación se monitorea regularmente.</t>
  </si>
  <si>
    <t>1.6.2 El sistema nacional de protección de la infancia y los proveedores de servicios especializados son apoyados con asistencia técnica.</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</si>
  <si>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</si>
  <si>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</si>
  <si>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</si>
  <si>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</si>
  <si>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</si>
  <si>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</si>
  <si>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</si>
  <si>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</si>
  <si>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</si>
  <si>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</si>
  <si>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</si>
  <si>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3.1.2 Las personas por las cuales ACNUR trabaja con los perfiles y habilidades requeridas son identificadas para vías complementarias y referidas a programas piloto de movilidad laboral.</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</si>
  <si>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</si>
  <si>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</si>
  <si>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</si>
  <si>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</si>
  <si>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</si>
  <si>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</si>
  <si>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</si>
  <si>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code</t>
  </si>
  <si>
    <t>canton</t>
  </si>
  <si>
    <t>NACIONAL</t>
  </si>
  <si>
    <t>AZUAY-CAMILO PONCE ENRIQUEZ</t>
  </si>
  <si>
    <t>AZUAY-CHORDELEG</t>
  </si>
  <si>
    <t>AZUAY-EL PAN</t>
  </si>
  <si>
    <t>AZUAY-GIRON</t>
  </si>
  <si>
    <t>AZUAY-GUACHAPALA</t>
  </si>
  <si>
    <t>AZUAY-GUALACEO</t>
  </si>
  <si>
    <t>AZUAY-NABON</t>
  </si>
  <si>
    <t>AZUAY-OÑA</t>
  </si>
  <si>
    <t>AZUAY-PAUTE</t>
  </si>
  <si>
    <t>AZUAY-PUCARA</t>
  </si>
  <si>
    <t>AZUAY-SAN FERNANDO</t>
  </si>
  <si>
    <t>AZUAY-SANTA ISABEL</t>
  </si>
  <si>
    <t>AZUAY-SEVILLA DE ORO</t>
  </si>
  <si>
    <t>AZUAY-SIGSIG</t>
  </si>
  <si>
    <t>BOLIVAR-CALUMA</t>
  </si>
  <si>
    <t>BOLIVAR-CHILLANES</t>
  </si>
  <si>
    <t>BOLIVAR-CHIMBO</t>
  </si>
  <si>
    <t>BOLIVAR-ECHEANDIA</t>
  </si>
  <si>
    <t>BOLIVAR-GUARANDA</t>
  </si>
  <si>
    <t>BOLIVAR-LAS NAVES</t>
  </si>
  <si>
    <t>BOLIVAR-SAN MIGUEL</t>
  </si>
  <si>
    <t>CAÑAR-AZOGUES</t>
  </si>
  <si>
    <t>CAÑAR-BIBLIAN</t>
  </si>
  <si>
    <t>CAÑAR-CAÑAR</t>
  </si>
  <si>
    <t>CAÑAR-DELEG</t>
  </si>
  <si>
    <t>CAÑAR-EL TAMBO</t>
  </si>
  <si>
    <t>CAÑAR-LA TRONCAL</t>
  </si>
  <si>
    <t>CAÑAR-SUSCAL</t>
  </si>
  <si>
    <t>CARCHI-BOLIVAR</t>
  </si>
  <si>
    <t>CARCHI-ESPEJO</t>
  </si>
  <si>
    <t>CARCHI-MIRA</t>
  </si>
  <si>
    <t>CARCHI-MONTUFAR</t>
  </si>
  <si>
    <t>CARCHI-SAN PEDRO DE HUACA</t>
  </si>
  <si>
    <t>CHIMBORAZO-ALAUSI</t>
  </si>
  <si>
    <t>CHIMBORAZO-CHAMBO</t>
  </si>
  <si>
    <t>CHIMBORAZO-CHUNCHI</t>
  </si>
  <si>
    <t>CHIMBORAZO-COLTA</t>
  </si>
  <si>
    <t>CHIMBORAZO-CUMANDA</t>
  </si>
  <si>
    <t>CHIMBORAZO-GUAMOTE</t>
  </si>
  <si>
    <t>CHIMBORAZO-GUANO</t>
  </si>
  <si>
    <t>CHIMBORAZO-PALLATANGA</t>
  </si>
  <si>
    <t>CHIMBORAZO-PENIPE</t>
  </si>
  <si>
    <t>CHIMBORAZO-RIOBAMBA</t>
  </si>
  <si>
    <t>COTOPAXI-LA MANA</t>
  </si>
  <si>
    <t>COTOPAXI-LATACUNGA</t>
  </si>
  <si>
    <t>COTOPAXI-PANGUA</t>
  </si>
  <si>
    <t>COTOPAXI-PUJILI</t>
  </si>
  <si>
    <t>COTOPAXI-SALCEDO</t>
  </si>
  <si>
    <t>COTOPAXI-SAQUISILI</t>
  </si>
  <si>
    <t>COTOPAXI-SIGCHOS</t>
  </si>
  <si>
    <t>EL ORO-ARENILLAS</t>
  </si>
  <si>
    <t>EL ORO-ATAHUALPA</t>
  </si>
  <si>
    <t>EL ORO-BALSAS</t>
  </si>
  <si>
    <t>EL ORO-CHILLA</t>
  </si>
  <si>
    <t>EL ORO-EL GUABO</t>
  </si>
  <si>
    <t>EL ORO-LAS LAJAS</t>
  </si>
  <si>
    <t>EL ORO-MARCABELI</t>
  </si>
  <si>
    <t>EL ORO-PASAJE</t>
  </si>
  <si>
    <t>EL ORO-PIÑAS</t>
  </si>
  <si>
    <t>EL ORO-PORTOVELO</t>
  </si>
  <si>
    <t>EL ORO-SANTA ROSA</t>
  </si>
  <si>
    <t>EL ORO-ZARUMA</t>
  </si>
  <si>
    <t>ESMERALDAS-ATACAMES</t>
  </si>
  <si>
    <t>ESMERALDAS-ELOY ALFARO</t>
  </si>
  <si>
    <t>ESMERALDAS-ESMERALDAS</t>
  </si>
  <si>
    <t>ESMERALDAS-LA CONCORDIA</t>
  </si>
  <si>
    <t>ESMERALDAS-MUISNE</t>
  </si>
  <si>
    <t>ESMERALDAS-QUININDE</t>
  </si>
  <si>
    <t>ESMERALDAS-RIOVERDE</t>
  </si>
  <si>
    <t>ESMERALDAS-SAN LORENZO</t>
  </si>
  <si>
    <t>GALAPAGOS-ISABELA</t>
  </si>
  <si>
    <t>GALAPAGOS-SAN CRISTOBAL</t>
  </si>
  <si>
    <t>GALAPAGOS-SANTA CRUZ</t>
  </si>
  <si>
    <t>GUAYAS-ALFREDO BAQUERIZO MORENO</t>
  </si>
  <si>
    <t>GUAYAS-BALAO</t>
  </si>
  <si>
    <t>GUAYAS-BALZAR</t>
  </si>
  <si>
    <t>GUAYAS-COLIMES</t>
  </si>
  <si>
    <t>GUAYAS-CRNEL. MARCELINO MARIDUEÑA</t>
  </si>
  <si>
    <t>GUAYAS-DAULE</t>
  </si>
  <si>
    <t>GUAYAS-DURAN</t>
  </si>
  <si>
    <t>GUAYAS-EL TRIUNFO</t>
  </si>
  <si>
    <t>GUAYAS-EMPALME</t>
  </si>
  <si>
    <t>GUAYAS-GNRAL. ANTONIO ELIZALDE</t>
  </si>
  <si>
    <t>GUAYAS-ISIDRO AYORA</t>
  </si>
  <si>
    <t>GUAYAS-LOMAS DE SARGENTILLO</t>
  </si>
  <si>
    <t>GUAYAS-MILAGRO</t>
  </si>
  <si>
    <t>GUAYAS-NARANJAL</t>
  </si>
  <si>
    <t>GUAYAS-NARANJITO</t>
  </si>
  <si>
    <t>GUAYAS-NOBOL</t>
  </si>
  <si>
    <t>GUAYAS-PALESTINA</t>
  </si>
  <si>
    <t>GUAYAS-PEDRO CARBO</t>
  </si>
  <si>
    <t>GUAYAS-PLAYAS</t>
  </si>
  <si>
    <t>GUAYAS-SALITRE</t>
  </si>
  <si>
    <t>GUAYAS-SAMBORONDON</t>
  </si>
  <si>
    <t>GUAYAS-SAN JACINTO DE YAGUACHI</t>
  </si>
  <si>
    <t>GUAYAS-SANTA LUCIA</t>
  </si>
  <si>
    <t>GUAYAS-SIMON BOLIVAR</t>
  </si>
  <si>
    <t>IMBABURA-ANTONIO ANTE</t>
  </si>
  <si>
    <t>IMBABURA-COTACACHI</t>
  </si>
  <si>
    <t>IMBABURA-IBARRA</t>
  </si>
  <si>
    <t>IMBABURA-OTAVALO</t>
  </si>
  <si>
    <t>IMBABURA-PIMAMPIRO</t>
  </si>
  <si>
    <t>IMBABURA-SAN MIGUEL DE URCUQUI</t>
  </si>
  <si>
    <t>LOJA-CALVAS</t>
  </si>
  <si>
    <t>LOJA-CATAMAYO</t>
  </si>
  <si>
    <t>LOJA-CELICA</t>
  </si>
  <si>
    <t>LOJA-CHAGUARPAMBA</t>
  </si>
  <si>
    <t>LOJA-ESPINDOLA</t>
  </si>
  <si>
    <t>LOJA-GONZANAMA</t>
  </si>
  <si>
    <t>LOJA-LOJA</t>
  </si>
  <si>
    <t>LOJA-MACARA</t>
  </si>
  <si>
    <t>LOJA-OLMEDO</t>
  </si>
  <si>
    <t>LOJA-PALTAS</t>
  </si>
  <si>
    <t>LOJA-PUYANGO</t>
  </si>
  <si>
    <t>LOJA-QUILANGA</t>
  </si>
  <si>
    <t>LOJA-SARAGURO</t>
  </si>
  <si>
    <t>LOJA-SOZORANGA</t>
  </si>
  <si>
    <t>LOJA-ZAPOTILLO</t>
  </si>
  <si>
    <t>LOS RIOS-BABA</t>
  </si>
  <si>
    <t>LOS RIOS-BABAHOYO</t>
  </si>
  <si>
    <t>LOS RIOS-BUENA FE</t>
  </si>
  <si>
    <t>LOS RIOS-MOCACHE</t>
  </si>
  <si>
    <t>LOS RIOS-MONTALVO</t>
  </si>
  <si>
    <t>LOS RIOS-PALENQUE</t>
  </si>
  <si>
    <t>LOS RIOS-PUEBLOVIEJO</t>
  </si>
  <si>
    <t>LOS RIOS-QUEVEDO</t>
  </si>
  <si>
    <t>LOS RIOS-QUINSALOMA</t>
  </si>
  <si>
    <t>LOS RIOS-URDANETA</t>
  </si>
  <si>
    <t>LOS RIOS-VALENCIA</t>
  </si>
  <si>
    <t>LOS RIOS-VENTANAS</t>
  </si>
  <si>
    <t>LOS RIOS-VINCES</t>
  </si>
  <si>
    <t>MANABI-24 DE MAYO</t>
  </si>
  <si>
    <t>MANABI-BOLIVAR</t>
  </si>
  <si>
    <t>MANABI-CHONE</t>
  </si>
  <si>
    <t>MANABI-EL CARMEN</t>
  </si>
  <si>
    <t>MANABI-FLAVIO ALFARO</t>
  </si>
  <si>
    <t>MANABI-JAMA</t>
  </si>
  <si>
    <t>MANABI-JARAMIJO</t>
  </si>
  <si>
    <t>MANABI-JIPIJAPA</t>
  </si>
  <si>
    <t>MANABI-JUNIN</t>
  </si>
  <si>
    <t>MANABI-MANTA</t>
  </si>
  <si>
    <t>MANABI-MONTECRISTI</t>
  </si>
  <si>
    <t>MANABI-OLMEDO</t>
  </si>
  <si>
    <t>MANABI-PAJAN</t>
  </si>
  <si>
    <t>MANABI-PEDERNALES</t>
  </si>
  <si>
    <t>MANABI-PICHINCHA</t>
  </si>
  <si>
    <t>MANABI-PORTOVIEJO</t>
  </si>
  <si>
    <t>MANABI-PUERTO LOPEZ</t>
  </si>
  <si>
    <t>MANABI-ROCAFUERTE</t>
  </si>
  <si>
    <t>MANABI-SAN VICENTE</t>
  </si>
  <si>
    <t>MANABI-SANTA ANA</t>
  </si>
  <si>
    <t>MANABI-SUCRE</t>
  </si>
  <si>
    <t>MANABI-TOSAGUA</t>
  </si>
  <si>
    <t>MORONA SANTIAGO-GUALAQUIZA</t>
  </si>
  <si>
    <t>MORONA SANTIAGO-HUAMBOYA</t>
  </si>
  <si>
    <t>MORONA SANTIAGO-LIMON INDANZA</t>
  </si>
  <si>
    <t>MORONA SANTIAGO-LOGROÑO</t>
  </si>
  <si>
    <t>MORONA SANTIAGO-MORONA</t>
  </si>
  <si>
    <t>MORONA SANTIAGO-PABLO SEXTO</t>
  </si>
  <si>
    <t>MORONA SANTIAGO-PALORA</t>
  </si>
  <si>
    <t>MORONA SANTIAGO-SAN JUAN BOSCO</t>
  </si>
  <si>
    <t>MORONA SANTIAGO-SANTIAGO</t>
  </si>
  <si>
    <t>MORONA SANTIAGO-SUCUA</t>
  </si>
  <si>
    <t>MORONA SANTIAGO-TAISHA</t>
  </si>
  <si>
    <t>MORONA SANTIAGO-TIWINTZA</t>
  </si>
  <si>
    <t>NAPO-ARCHIDONA</t>
  </si>
  <si>
    <t>NAPO-CARLOS JULIO AROSEMENA TOLA</t>
  </si>
  <si>
    <t>NAPO-EL CHACO</t>
  </si>
  <si>
    <t>NAPO-QUIJOS</t>
  </si>
  <si>
    <t>NAPO-TENA</t>
  </si>
  <si>
    <t>ORELLANA-AGUARICO</t>
  </si>
  <si>
    <t>ORELLANA-LA JOYA DE LOS SACHAS</t>
  </si>
  <si>
    <t>ORELLANA-LORETO</t>
  </si>
  <si>
    <t>ORELLANA-ORELLANA</t>
  </si>
  <si>
    <t>PASTAZA-ARAJUNO</t>
  </si>
  <si>
    <t>PASTAZA-MERA</t>
  </si>
  <si>
    <t>PASTAZA-PASTAZA</t>
  </si>
  <si>
    <t>PASTAZA-SANTA CLARA</t>
  </si>
  <si>
    <t>PICHINCHA-CAYAMBE</t>
  </si>
  <si>
    <t>PICHINCHA-MEJIA</t>
  </si>
  <si>
    <t>PICHINCHA-PEDRO MONCAYO</t>
  </si>
  <si>
    <t>PICHINCHA-PEDRO VICENTE MALDONADO</t>
  </si>
  <si>
    <t>PICHINCHA-PUERTO QUITO</t>
  </si>
  <si>
    <t>PICHINCHA-RUMIÑAHUI</t>
  </si>
  <si>
    <t>PICHINCHA-SAN MIGUEL DE LOS BANCOS</t>
  </si>
  <si>
    <t>SANTA ELENA-LA LIBERTAD</t>
  </si>
  <si>
    <t>SANTA ELENA-SALINAS</t>
  </si>
  <si>
    <t>SANTA ELENA-SANTA ELENA</t>
  </si>
  <si>
    <t>SUCUMBIOS-CASCALES</t>
  </si>
  <si>
    <t>SUCUMBIOS-CUYABENO</t>
  </si>
  <si>
    <t>SUCUMBIOS-GONZALO PIZARRO</t>
  </si>
  <si>
    <t>SUCUMBIOS-PUTUMAYO</t>
  </si>
  <si>
    <t>SUCUMBIOS-SHUSHUFINDI</t>
  </si>
  <si>
    <t>SUCUMBIOS-SUCUMBIOS</t>
  </si>
  <si>
    <t>TUNGURAHUA-BAÑOS DE AGUA SANTA</t>
  </si>
  <si>
    <t>TUNGURAHUA-CEVALLOS</t>
  </si>
  <si>
    <t>TUNGURAHUA-MOCHA</t>
  </si>
  <si>
    <t>TUNGURAHUA-PATATE</t>
  </si>
  <si>
    <t>TUNGURAHUA-QUERO</t>
  </si>
  <si>
    <t>TUNGURAHUA-SAN PEDRO DE PELILEO</t>
  </si>
  <si>
    <t>TUNGURAHUA-SANTIAGO DE PILLARO</t>
  </si>
  <si>
    <t>TUNGURAHUA-TISALEO</t>
  </si>
  <si>
    <t>ZAMORA CHINCHIPE-CENTINELA DEL CONDOR</t>
  </si>
  <si>
    <t>ZAMORA CHINCHIPE-CHINCHIPE</t>
  </si>
  <si>
    <t>ZAMORA CHINCHIPE-EL PANGUI</t>
  </si>
  <si>
    <t>ZAMORA CHINCHIPE-NANGARITZA</t>
  </si>
  <si>
    <t>ZAMORA CHINCHIPE-PALANDA</t>
  </si>
  <si>
    <t>ZAMORA CHINCHIPE-PAQUISHA</t>
  </si>
  <si>
    <t>ZAMORA CHINCHIPE-YACUAMBI</t>
  </si>
  <si>
    <t>ZAMORA CHINCHIPE-YANTZAZA</t>
  </si>
  <si>
    <t>ZAMORA CHINCHIPE-ZAMORA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</si>
</sst>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8"/>
      <color rgb="FF000000"/>
      <name val="Calibri"/>
      <family val="2"/>
    </font>
    <font>
      <sz val="8"/>
      <color rgb="FF000000"/>
      <name val="Calibri"/>
      <family val="2"/>
    </font>
    <font>
      <sz val="8"/>
      <name val="Arial"/>
      <family val="2"/>
    </font>
    <font>
      <sz val="11"/>
      <color rgb="FFFF0000"/>
      <name val="Arial"/>
      <family val="2"/>
    </font>
    <font>
      <sz val="11"/>
      <name val="Arial"/>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00"/>
        <bgColor indexed="64"/>
      </patternFill>
    </fill>
  </fills>
  <borders count="15">
    <border>
      <left/>
      <right/>
      <top/>
      <bottom/>
      <diagonal/>
    </border>
    <border>
      <left style="medium">
        <color indexed="64"/>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34">
    <xf numFmtId="0" fontId="0" fillId="0" borderId="0" xfId="0"/>
    <xf numFmtId="0" fontId="0" fillId="0" borderId="0" xfId="0" applyAlignment="1">
      <alignment horizontal="left" vertical="top" wrapText="1"/>
    </xf>
    <xf numFmtId="0" fontId="0" fillId="2" borderId="8" xfId="0" applyFill="1" applyBorder="1" applyAlignment="1">
      <alignment vertical="center" wrapText="1"/>
    </xf>
    <xf numFmtId="0" fontId="1" fillId="3" borderId="3" xfId="0" applyFont="1" applyFill="1" applyBorder="1" applyAlignment="1">
      <alignment horizontal="center" vertical="center" wrapText="1"/>
    </xf>
    <xf numFmtId="0" fontId="1" fillId="3" borderId="5" xfId="0" applyFont="1" applyFill="1" applyBorder="1" applyAlignment="1">
      <alignment horizontal="center" vertical="center" wrapText="1"/>
    </xf>
    <xf numFmtId="0" fontId="0" fillId="2" borderId="0" xfId="0" applyFill="1" applyAlignment="1">
      <alignment vertical="center" wrapText="1"/>
    </xf>
    <xf numFmtId="0" fontId="1" fillId="3" borderId="1"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0" fillId="2" borderId="0" xfId="0" applyFill="1"/>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2" borderId="8" xfId="0" applyFill="1" applyBorder="1" applyAlignment="1">
      <alignment horizontal="center" vertical="center" wrapText="1"/>
    </xf>
    <xf numFmtId="0" fontId="0" fillId="2" borderId="0" xfId="0" applyFill="1" applyAlignment="1">
      <alignment horizontal="left" vertical="center" wrapText="1"/>
    </xf>
    <xf numFmtId="0" fontId="0" fillId="2" borderId="12" xfId="0" applyFill="1" applyBorder="1" applyAlignment="1">
      <alignment horizontal="left" vertical="center" wrapText="1"/>
    </xf>
    <xf numFmtId="0" fontId="0" fillId="2" borderId="8" xfId="0" applyFill="1" applyBorder="1" applyAlignment="1">
      <alignment horizontal="left" vertical="center" wrapText="1"/>
    </xf>
    <xf numFmtId="0" fontId="0" fillId="4" borderId="8" xfId="0" applyFill="1" applyBorder="1" applyAlignment="1">
      <alignment horizontal="left" vertical="center" wrapText="1"/>
    </xf>
    <xf numFmtId="0" fontId="0" fillId="2" borderId="0" xfId="0" applyFill="1" applyAlignment="1">
      <alignment horizontal="center" vertical="center" wrapText="1"/>
    </xf>
    <xf numFmtId="0" fontId="4" fillId="2" borderId="0" xfId="0" applyFont="1" applyFill="1" applyAlignment="1">
      <alignment vertical="center" wrapText="1"/>
    </xf>
    <xf numFmtId="0" fontId="0" fillId="0" borderId="8" xfId="0" applyBorder="1" applyAlignment="1">
      <alignment horizontal="center" vertical="center" wrapText="1"/>
    </xf>
    <xf numFmtId="1" fontId="0" fillId="2" borderId="8" xfId="0" applyNumberFormat="1" applyFill="1" applyBorder="1" applyAlignment="1">
      <alignment horizontal="center" vertical="center" wrapText="1"/>
    </xf>
    <xf numFmtId="0" fontId="1" fillId="3" borderId="9" xfId="0" applyFont="1" applyFill="1" applyBorder="1" applyAlignment="1">
      <alignment horizontal="left" vertical="center" wrapText="1"/>
    </xf>
    <xf numFmtId="0" fontId="0" fillId="0" borderId="8" xfId="0" applyBorder="1" applyAlignment="1">
      <alignment horizontal="left" vertical="center" wrapText="1"/>
    </xf>
    <xf numFmtId="0" fontId="5" fillId="2" borderId="8" xfId="0" applyFont="1" applyFill="1" applyBorder="1" applyAlignment="1">
      <alignment horizontal="left" vertical="center" wrapText="1"/>
    </xf>
    <xf numFmtId="0" fontId="0" fillId="4" borderId="8" xfId="0" applyFill="1" applyBorder="1" applyAlignment="1">
      <alignment vertical="center" wrapText="1"/>
    </xf>
    <xf numFmtId="0" fontId="0" fillId="0" borderId="8" xfId="0" applyBorder="1" applyAlignment="1">
      <alignment vertical="center" wrapText="1"/>
    </xf>
    <xf numFmtId="0" fontId="1" fillId="3" borderId="2"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0" fillId="2" borderId="13" xfId="0" applyFill="1" applyBorder="1" applyAlignment="1">
      <alignment horizontal="center" vertical="center" wrapText="1"/>
    </xf>
    <xf numFmtId="0" fontId="0" fillId="2" borderId="14" xfId="0"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0" fillId="2" borderId="0" xfId="0" applyFill="1" applyBorder="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1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7.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19.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20.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2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2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E5163-2297-49A7-8312-4B7DCAAA8666}">
  <sheetPr codeName="Sheet1"/>
  <dimension ref="A2:J56"/>
  <sheetViews>
    <sheetView topLeftCell="B1" workbookViewId="0">
      <selection activeCell="E25" sqref="E25"/>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c r="F3" s="30"/>
    </row>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57" x14ac:dyDescent="0.2">
      <c r="A7" s="2">
        <v>1</v>
      </c>
      <c r="B7" s="15" t="s">
        <v>14</v>
      </c>
      <c r="C7" s="15"/>
      <c r="D7" s="15" t="s">
        <v>15</v>
      </c>
      <c r="E7" s="2">
        <v>1</v>
      </c>
      <c r="F7" s="2">
        <v>2</v>
      </c>
      <c r="G7" s="2">
        <v>3</v>
      </c>
      <c r="H7" s="2">
        <v>4</v>
      </c>
      <c r="I7" s="2">
        <f>SUM(E7:H7)</f>
        <v>10</v>
      </c>
      <c r="J7" s="15" t="s">
        <v>16</v>
      </c>
    </row>
    <row r="8" spans="1:10" x14ac:dyDescent="0.2">
      <c r="A8" s="2">
        <v>2</v>
      </c>
      <c r="B8" s="15"/>
      <c r="C8" s="15"/>
      <c r="D8" s="15"/>
      <c r="E8" s="2"/>
      <c r="F8" s="2"/>
      <c r="G8" s="2"/>
      <c r="H8" s="2"/>
      <c r="I8" s="2">
        <f t="shared" ref="I8:I56" si="0">SUM(E8:H8)</f>
        <v>0</v>
      </c>
      <c r="J8" s="15"/>
    </row>
    <row r="9" spans="1:10" x14ac:dyDescent="0.2">
      <c r="A9" s="2">
        <v>3</v>
      </c>
      <c r="B9" s="15"/>
      <c r="C9" s="15"/>
      <c r="D9" s="15"/>
      <c r="E9" s="2"/>
      <c r="F9" s="2"/>
      <c r="G9" s="2"/>
      <c r="H9" s="2"/>
      <c r="I9" s="2">
        <f t="shared" si="0"/>
        <v>0</v>
      </c>
      <c r="J9" s="15"/>
    </row>
    <row r="10" spans="1:10" x14ac:dyDescent="0.2">
      <c r="A10" s="2">
        <v>4</v>
      </c>
      <c r="B10" s="15"/>
      <c r="C10" s="15"/>
      <c r="D10" s="15"/>
      <c r="E10" s="2"/>
      <c r="F10" s="2"/>
      <c r="G10" s="2"/>
      <c r="H10" s="2"/>
      <c r="I10" s="2">
        <f t="shared" si="0"/>
        <v>0</v>
      </c>
      <c r="J10" s="15"/>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5:H5"/>
    <mergeCell ref="E3:F3"/>
    <mergeCell ref="E2:F2"/>
  </mergeCells>
  <phoneticPr fontId="3" type="noConversion"/>
  <dataValidations count="1">
    <dataValidation type="whole" allowBlank="1" showInputMessage="1" showErrorMessage="1" promptTitle="solo se permite número enteros" sqref="E7:H56" xr:uid="{388F7F0A-FAC9-43ED-9C9A-DD286EB2953E}">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A52C5735-19B7-4D5B-8DE9-99C8DCADB910}">
          <x14:formula1>
            <xm:f>Sheet2!$A$2:$A$49</xm:f>
          </x14:formula1>
          <xm:sqref>B7:B54</xm:sqref>
        </x14:dataValidation>
        <x14:dataValidation type="list" allowBlank="1" showInputMessage="1" showErrorMessage="1" xr:uid="{12933F2A-AB6E-4EA4-AF0A-EF6E385EB279}">
          <x14:formula1>
            <xm:f>Sheet4!$B$3:$B$223</xm:f>
          </x14:formula1>
          <xm:sqref>J7:J54</xm:sqref>
        </x14:dataValidation>
        <x14:dataValidation type="list" allowBlank="1" showInputMessage="1" showErrorMessage="1" xr:uid="{D0B954F8-3165-437B-A2A2-681054549E24}">
          <x14:formula1>
            <xm:f>Sheet2!#REF!</xm:f>
          </x14:formula1>
          <xm:sqref>D8:D54</xm:sqref>
        </x14:dataValidation>
        <x14:dataValidation type="list" allowBlank="1" showInputMessage="1" showErrorMessage="1" xr:uid="{8C3F6C34-8EBC-43B2-83AD-66A0865B8345}">
          <x14:formula1>
            <xm:f>Sheet3!$D$2:$D$154</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5E40-F420-40F3-92E4-8475572C6F1F}">
  <sheetPr codeName="Sheet9">
    <tabColor theme="9"/>
  </sheetPr>
  <dimension ref="A2:J14"/>
  <sheetViews>
    <sheetView zoomScale="80" zoomScaleNormal="80" workbookViewId="0">
      <selection activeCell="B7" sqref="B7:J14"/>
    </sheetView>
  </sheetViews>
  <sheetFormatPr defaultColWidth="9" defaultRowHeight="14.25" x14ac:dyDescent="0.2"/>
  <cols>
    <col min="1" max="1" width="9" style="5"/>
    <col min="2" max="2" width="50.5" style="13" customWidth="1"/>
    <col min="3" max="3" width="40.375" style="13" customWidth="1"/>
    <col min="4" max="4" width="45" style="13" customWidth="1"/>
    <col min="5" max="9" width="9" style="5"/>
    <col min="10" max="10" width="47.625" style="13" customWidth="1"/>
    <col min="11" max="16384" width="9" style="5"/>
  </cols>
  <sheetData>
    <row r="2" spans="1:10" x14ac:dyDescent="0.2">
      <c r="D2" s="21" t="s">
        <v>0</v>
      </c>
      <c r="E2" s="31" t="s">
        <v>1</v>
      </c>
      <c r="F2" s="32"/>
    </row>
    <row r="3" spans="1:10" x14ac:dyDescent="0.2">
      <c r="D3" s="14" t="s">
        <v>2</v>
      </c>
      <c r="E3" s="29">
        <v>111203</v>
      </c>
      <c r="F3" s="30"/>
    </row>
    <row r="5" spans="1:10" ht="15" customHeight="1" thickBot="1" x14ac:dyDescent="0.25">
      <c r="E5" s="26" t="s">
        <v>3</v>
      </c>
      <c r="F5" s="27"/>
      <c r="G5" s="27"/>
      <c r="H5" s="28"/>
    </row>
    <row r="6" spans="1:10" ht="25.9" customHeight="1" x14ac:dyDescent="0.2">
      <c r="A6" s="6" t="s">
        <v>4</v>
      </c>
      <c r="B6" s="6" t="s">
        <v>5</v>
      </c>
      <c r="C6" s="9" t="s">
        <v>6</v>
      </c>
      <c r="D6" s="7" t="s">
        <v>7</v>
      </c>
      <c r="E6" s="3" t="s">
        <v>8</v>
      </c>
      <c r="F6" s="3" t="s">
        <v>9</v>
      </c>
      <c r="G6" s="10" t="s">
        <v>10</v>
      </c>
      <c r="H6" s="4" t="s">
        <v>11</v>
      </c>
      <c r="I6" s="11" t="s">
        <v>12</v>
      </c>
      <c r="J6" s="11" t="s">
        <v>13</v>
      </c>
    </row>
    <row r="7" spans="1:10" ht="57" x14ac:dyDescent="0.2">
      <c r="A7" s="2">
        <v>1</v>
      </c>
      <c r="B7" s="15" t="s">
        <v>17</v>
      </c>
      <c r="C7" s="15" t="s">
        <v>18</v>
      </c>
      <c r="D7" s="15" t="s">
        <v>19</v>
      </c>
      <c r="E7" s="2">
        <v>0</v>
      </c>
      <c r="F7" s="2">
        <v>128</v>
      </c>
      <c r="G7" s="2">
        <v>298</v>
      </c>
      <c r="H7" s="2">
        <v>0</v>
      </c>
      <c r="I7" s="2">
        <f>SUM(E7:H7)</f>
        <v>426</v>
      </c>
      <c r="J7" s="15" t="s">
        <v>20</v>
      </c>
    </row>
    <row r="8" spans="1:10" ht="85.5" x14ac:dyDescent="0.2">
      <c r="A8" s="2">
        <v>2</v>
      </c>
      <c r="B8" s="15" t="s">
        <v>17</v>
      </c>
      <c r="C8" s="15" t="s">
        <v>21</v>
      </c>
      <c r="D8" s="15" t="s">
        <v>15</v>
      </c>
      <c r="E8" s="2">
        <v>0</v>
      </c>
      <c r="F8" s="2">
        <v>316</v>
      </c>
      <c r="G8" s="2">
        <v>314</v>
      </c>
      <c r="H8" s="2">
        <v>310</v>
      </c>
      <c r="I8" s="2">
        <f t="shared" ref="I8:I14" si="0">SUM(E8:H8)</f>
        <v>940</v>
      </c>
      <c r="J8" s="15" t="s">
        <v>20</v>
      </c>
    </row>
    <row r="9" spans="1:10" ht="99.75" x14ac:dyDescent="0.2">
      <c r="A9" s="2">
        <v>3</v>
      </c>
      <c r="B9" s="15" t="s">
        <v>17</v>
      </c>
      <c r="C9" s="15" t="s">
        <v>22</v>
      </c>
      <c r="D9" s="15" t="s">
        <v>23</v>
      </c>
      <c r="E9" s="2">
        <v>0</v>
      </c>
      <c r="F9" s="2">
        <v>199</v>
      </c>
      <c r="G9" s="2">
        <v>204</v>
      </c>
      <c r="H9" s="2">
        <v>204</v>
      </c>
      <c r="I9" s="2">
        <f t="shared" si="0"/>
        <v>607</v>
      </c>
      <c r="J9" s="15" t="s">
        <v>20</v>
      </c>
    </row>
    <row r="10" spans="1:10" ht="57" x14ac:dyDescent="0.2">
      <c r="A10" s="2">
        <v>4</v>
      </c>
      <c r="B10" s="15" t="s">
        <v>17</v>
      </c>
      <c r="C10" s="15" t="s">
        <v>24</v>
      </c>
      <c r="D10" s="15" t="s">
        <v>25</v>
      </c>
      <c r="E10" s="2">
        <v>0</v>
      </c>
      <c r="F10" s="2">
        <v>166</v>
      </c>
      <c r="G10" s="2">
        <v>166</v>
      </c>
      <c r="H10" s="2">
        <v>168</v>
      </c>
      <c r="I10" s="2">
        <f t="shared" si="0"/>
        <v>500</v>
      </c>
      <c r="J10" s="15" t="s">
        <v>20</v>
      </c>
    </row>
    <row r="11" spans="1:10" ht="57" x14ac:dyDescent="0.2">
      <c r="A11" s="2">
        <v>5</v>
      </c>
      <c r="B11" s="15" t="s">
        <v>17</v>
      </c>
      <c r="C11" s="15" t="s">
        <v>26</v>
      </c>
      <c r="D11" s="15" t="s">
        <v>27</v>
      </c>
      <c r="E11" s="2">
        <v>0</v>
      </c>
      <c r="F11" s="2">
        <v>0</v>
      </c>
      <c r="G11" s="2">
        <v>0</v>
      </c>
      <c r="H11" s="2">
        <v>200</v>
      </c>
      <c r="I11" s="2">
        <f t="shared" si="0"/>
        <v>200</v>
      </c>
      <c r="J11" s="15" t="s">
        <v>20</v>
      </c>
    </row>
    <row r="12" spans="1:10" ht="57" x14ac:dyDescent="0.2">
      <c r="A12" s="2">
        <v>6</v>
      </c>
      <c r="B12" s="15" t="s">
        <v>28</v>
      </c>
      <c r="C12" s="15" t="s">
        <v>29</v>
      </c>
      <c r="D12" s="15" t="s">
        <v>30</v>
      </c>
      <c r="E12" s="2">
        <v>0</v>
      </c>
      <c r="F12" s="2">
        <v>36336</v>
      </c>
      <c r="G12" s="2">
        <v>36332</v>
      </c>
      <c r="H12" s="2">
        <v>36324</v>
      </c>
      <c r="I12" s="2">
        <f t="shared" si="0"/>
        <v>108992</v>
      </c>
      <c r="J12" s="15" t="s">
        <v>20</v>
      </c>
    </row>
    <row r="13" spans="1:10" ht="57" x14ac:dyDescent="0.2">
      <c r="A13" s="2">
        <v>7</v>
      </c>
      <c r="B13" s="15" t="s">
        <v>28</v>
      </c>
      <c r="C13" s="15" t="s">
        <v>29</v>
      </c>
      <c r="D13" s="15" t="s">
        <v>31</v>
      </c>
      <c r="E13" s="2">
        <v>0</v>
      </c>
      <c r="F13" s="2">
        <v>395</v>
      </c>
      <c r="G13" s="2">
        <v>392</v>
      </c>
      <c r="H13" s="2">
        <v>391</v>
      </c>
      <c r="I13" s="2">
        <f t="shared" si="0"/>
        <v>1178</v>
      </c>
      <c r="J13" s="15" t="s">
        <v>20</v>
      </c>
    </row>
    <row r="14" spans="1:10" ht="57" x14ac:dyDescent="0.2">
      <c r="A14" s="2">
        <v>8</v>
      </c>
      <c r="B14" s="15" t="s">
        <v>28</v>
      </c>
      <c r="C14" s="15" t="s">
        <v>32</v>
      </c>
      <c r="D14" s="15" t="s">
        <v>33</v>
      </c>
      <c r="E14" s="2">
        <v>55</v>
      </c>
      <c r="F14" s="2">
        <v>56</v>
      </c>
      <c r="G14" s="2">
        <v>0</v>
      </c>
      <c r="H14" s="2">
        <v>0</v>
      </c>
      <c r="I14" s="2">
        <f t="shared" si="0"/>
        <v>111</v>
      </c>
      <c r="J14" s="15" t="s">
        <v>20</v>
      </c>
    </row>
  </sheetData>
  <mergeCells count="3">
    <mergeCell ref="E5:H5"/>
    <mergeCell ref="E2:F2"/>
    <mergeCell ref="E3:F3"/>
  </mergeCells>
  <dataValidations count="1">
    <dataValidation type="whole" allowBlank="1" showInputMessage="1" showErrorMessage="1" promptTitle="solo se permite número enteros" sqref="E7:H56" xr:uid="{F07C9013-1D81-44EA-AD7E-E8B2D785D61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6E4EA00-CE5C-44C6-93EE-44E9BCA59EF3}">
          <x14:formula1>
            <xm:f>Sheet3!$D$2:$D$154</xm:f>
          </x14:formula1>
          <xm:sqref>D7:D14</xm:sqref>
        </x14:dataValidation>
        <x14:dataValidation type="list" allowBlank="1" showInputMessage="1" showErrorMessage="1" xr:uid="{E55F2A11-BB7A-4033-952F-11F78D01BFAE}">
          <x14:formula1>
            <xm:f>Sheet2!#REF!</xm:f>
          </x14:formula1>
          <xm:sqref>D15:D54</xm:sqref>
        </x14:dataValidation>
        <x14:dataValidation type="list" allowBlank="1" showInputMessage="1" showErrorMessage="1" xr:uid="{C63656E7-31C2-41DB-B2E8-8C3043964760}">
          <x14:formula1>
            <xm:f>Sheet4!$B$3:$B$223</xm:f>
          </x14:formula1>
          <xm:sqref>J15:J54</xm:sqref>
        </x14:dataValidation>
        <x14:dataValidation type="list" allowBlank="1" showInputMessage="1" showErrorMessage="1" xr:uid="{227357D9-772C-4928-AC53-616D736669E1}">
          <x14:formula1>
            <xm:f>Sheet2!$A$2:$A$49</xm:f>
          </x14:formula1>
          <xm:sqref>B15:B54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7A64D-8C92-455F-B498-A81BEC821190}">
  <sheetPr codeName="Sheet13">
    <tabColor theme="9"/>
  </sheetPr>
  <dimension ref="A1:J32"/>
  <sheetViews>
    <sheetView topLeftCell="C25" zoomScale="80" zoomScaleNormal="80" workbookViewId="0">
      <selection activeCell="B7" sqref="B7:J32"/>
    </sheetView>
  </sheetViews>
  <sheetFormatPr defaultColWidth="9" defaultRowHeight="14.25" x14ac:dyDescent="0.2"/>
  <cols>
    <col min="1" max="1" width="9" style="17"/>
    <col min="2" max="2" width="50.5" style="13" customWidth="1"/>
    <col min="3" max="3" width="40.375" style="13" customWidth="1"/>
    <col min="4" max="4" width="72.75" style="13" customWidth="1"/>
    <col min="5" max="8" width="9" style="17" customWidth="1"/>
    <col min="9" max="9" width="9" style="17" bestFit="1" customWidth="1"/>
    <col min="10" max="10" width="47.625" style="17" customWidth="1"/>
    <col min="11" max="16384" width="9" style="5"/>
  </cols>
  <sheetData>
    <row r="1" spans="1:10" ht="15" thickBot="1" x14ac:dyDescent="0.25"/>
    <row r="2" spans="1:10" x14ac:dyDescent="0.2">
      <c r="D2" s="21" t="s">
        <v>0</v>
      </c>
      <c r="E2" s="31" t="s">
        <v>1</v>
      </c>
      <c r="F2" s="32"/>
    </row>
    <row r="3" spans="1:10" ht="15" thickBot="1" x14ac:dyDescent="0.25">
      <c r="D3" s="14" t="s">
        <v>2</v>
      </c>
      <c r="E3" s="29">
        <v>4766</v>
      </c>
      <c r="F3" s="30"/>
    </row>
    <row r="4" spans="1:10" ht="15" thickBot="1" x14ac:dyDescent="0.25"/>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57" x14ac:dyDescent="0.2">
      <c r="A7" s="12">
        <v>1</v>
      </c>
      <c r="B7" s="15" t="s">
        <v>17</v>
      </c>
      <c r="C7" s="15" t="s">
        <v>34</v>
      </c>
      <c r="D7" s="15" t="s">
        <v>19</v>
      </c>
      <c r="E7" s="12">
        <v>0</v>
      </c>
      <c r="F7" s="12">
        <v>576</v>
      </c>
      <c r="G7" s="12">
        <v>224</v>
      </c>
      <c r="H7" s="12">
        <v>0</v>
      </c>
      <c r="I7" s="12">
        <f t="shared" ref="I7:I32" si="0">+E7+F7+G7+H7</f>
        <v>800</v>
      </c>
      <c r="J7" s="12" t="s">
        <v>35</v>
      </c>
    </row>
    <row r="8" spans="1:10" ht="74.25" customHeight="1" x14ac:dyDescent="0.2">
      <c r="A8" s="12">
        <v>2</v>
      </c>
      <c r="B8" s="15" t="s">
        <v>17</v>
      </c>
      <c r="C8" s="15" t="s">
        <v>36</v>
      </c>
      <c r="D8" s="15" t="s">
        <v>15</v>
      </c>
      <c r="E8" s="12">
        <v>125</v>
      </c>
      <c r="F8" s="12">
        <v>125</v>
      </c>
      <c r="G8" s="12">
        <v>125</v>
      </c>
      <c r="H8" s="12">
        <v>125</v>
      </c>
      <c r="I8" s="12">
        <f t="shared" si="0"/>
        <v>500</v>
      </c>
      <c r="J8" s="12" t="s">
        <v>37</v>
      </c>
    </row>
    <row r="9" spans="1:10" ht="57" x14ac:dyDescent="0.2">
      <c r="A9" s="12">
        <v>3</v>
      </c>
      <c r="B9" s="15" t="s">
        <v>17</v>
      </c>
      <c r="C9" s="15" t="s">
        <v>38</v>
      </c>
      <c r="D9" s="15" t="s">
        <v>23</v>
      </c>
      <c r="E9" s="12">
        <v>327</v>
      </c>
      <c r="F9" s="12">
        <v>325</v>
      </c>
      <c r="G9" s="12">
        <v>307</v>
      </c>
      <c r="H9" s="12">
        <v>305</v>
      </c>
      <c r="I9" s="12">
        <f t="shared" si="0"/>
        <v>1264</v>
      </c>
      <c r="J9" s="12" t="s">
        <v>35</v>
      </c>
    </row>
    <row r="10" spans="1:10" ht="54" customHeight="1" x14ac:dyDescent="0.2">
      <c r="A10" s="12">
        <v>4</v>
      </c>
      <c r="B10" s="15" t="s">
        <v>17</v>
      </c>
      <c r="C10" s="15" t="s">
        <v>39</v>
      </c>
      <c r="D10" s="15" t="s">
        <v>40</v>
      </c>
      <c r="E10" s="12">
        <v>452</v>
      </c>
      <c r="F10" s="12">
        <v>450</v>
      </c>
      <c r="G10" s="12">
        <v>432</v>
      </c>
      <c r="H10" s="19">
        <v>430</v>
      </c>
      <c r="I10" s="12">
        <f>+E10+F10+G10+H10</f>
        <v>1764</v>
      </c>
      <c r="J10" s="12" t="s">
        <v>35</v>
      </c>
    </row>
    <row r="11" spans="1:10" ht="57" x14ac:dyDescent="0.2">
      <c r="A11" s="12">
        <v>5</v>
      </c>
      <c r="B11" s="15" t="s">
        <v>17</v>
      </c>
      <c r="C11" s="15" t="s">
        <v>39</v>
      </c>
      <c r="D11" s="15" t="s">
        <v>41</v>
      </c>
      <c r="E11" s="12">
        <v>362</v>
      </c>
      <c r="F11" s="12">
        <v>360</v>
      </c>
      <c r="G11" s="12">
        <v>346</v>
      </c>
      <c r="H11" s="19">
        <v>344</v>
      </c>
      <c r="I11" s="12">
        <f t="shared" si="0"/>
        <v>1412</v>
      </c>
      <c r="J11" s="12" t="s">
        <v>35</v>
      </c>
    </row>
    <row r="12" spans="1:10" ht="65.25" customHeight="1" x14ac:dyDescent="0.2">
      <c r="A12" s="12">
        <v>6</v>
      </c>
      <c r="B12" s="15" t="s">
        <v>17</v>
      </c>
      <c r="C12" s="15" t="s">
        <v>39</v>
      </c>
      <c r="D12" s="15" t="s">
        <v>42</v>
      </c>
      <c r="E12" s="12">
        <v>2260</v>
      </c>
      <c r="F12" s="12">
        <v>2250</v>
      </c>
      <c r="G12" s="12">
        <v>2160</v>
      </c>
      <c r="H12" s="19">
        <v>2150</v>
      </c>
      <c r="I12" s="12">
        <f t="shared" si="0"/>
        <v>8820</v>
      </c>
      <c r="J12" s="12" t="s">
        <v>35</v>
      </c>
    </row>
    <row r="13" spans="1:10" ht="57" x14ac:dyDescent="0.2">
      <c r="A13" s="12">
        <v>7</v>
      </c>
      <c r="B13" s="15" t="s">
        <v>17</v>
      </c>
      <c r="C13" s="15" t="s">
        <v>43</v>
      </c>
      <c r="D13" s="15" t="s">
        <v>25</v>
      </c>
      <c r="E13" s="12">
        <v>325</v>
      </c>
      <c r="F13" s="12">
        <v>325</v>
      </c>
      <c r="G13" s="12">
        <v>270</v>
      </c>
      <c r="H13" s="12">
        <v>270</v>
      </c>
      <c r="I13" s="12">
        <f t="shared" si="0"/>
        <v>1190</v>
      </c>
      <c r="J13" s="12" t="s">
        <v>35</v>
      </c>
    </row>
    <row r="14" spans="1:10" ht="54" customHeight="1" x14ac:dyDescent="0.2">
      <c r="A14" s="12">
        <v>8</v>
      </c>
      <c r="B14" s="15" t="s">
        <v>17</v>
      </c>
      <c r="C14" s="15" t="s">
        <v>34</v>
      </c>
      <c r="D14" s="15" t="s">
        <v>44</v>
      </c>
      <c r="E14" s="12">
        <v>20</v>
      </c>
      <c r="F14" s="12">
        <v>20</v>
      </c>
      <c r="G14" s="12">
        <v>20</v>
      </c>
      <c r="H14" s="12">
        <v>20</v>
      </c>
      <c r="I14" s="12">
        <f t="shared" si="0"/>
        <v>80</v>
      </c>
      <c r="J14" s="12" t="s">
        <v>45</v>
      </c>
    </row>
    <row r="15" spans="1:10" ht="70.5" customHeight="1" x14ac:dyDescent="0.2">
      <c r="A15" s="12">
        <v>9</v>
      </c>
      <c r="B15" s="15" t="s">
        <v>28</v>
      </c>
      <c r="C15" s="15" t="s">
        <v>36</v>
      </c>
      <c r="D15" s="15" t="s">
        <v>27</v>
      </c>
      <c r="E15" s="12">
        <v>20</v>
      </c>
      <c r="F15" s="12">
        <v>20</v>
      </c>
      <c r="G15" s="12">
        <v>20</v>
      </c>
      <c r="H15" s="12">
        <v>18</v>
      </c>
      <c r="I15" s="12">
        <f t="shared" si="0"/>
        <v>78</v>
      </c>
      <c r="J15" s="12" t="s">
        <v>35</v>
      </c>
    </row>
    <row r="16" spans="1:10" ht="71.25" x14ac:dyDescent="0.2">
      <c r="A16" s="12">
        <v>10</v>
      </c>
      <c r="B16" s="15" t="s">
        <v>28</v>
      </c>
      <c r="C16" s="15" t="s">
        <v>46</v>
      </c>
      <c r="D16" s="15" t="s">
        <v>30</v>
      </c>
      <c r="E16" s="12">
        <v>0</v>
      </c>
      <c r="F16" s="12">
        <v>0</v>
      </c>
      <c r="G16" s="12">
        <v>19712</v>
      </c>
      <c r="H16" s="12">
        <v>0</v>
      </c>
      <c r="I16" s="12">
        <f t="shared" si="0"/>
        <v>19712</v>
      </c>
      <c r="J16" s="12" t="s">
        <v>47</v>
      </c>
    </row>
    <row r="17" spans="1:10" ht="71.25" x14ac:dyDescent="0.2">
      <c r="A17" s="12">
        <v>11</v>
      </c>
      <c r="B17" s="15" t="s">
        <v>28</v>
      </c>
      <c r="C17" s="15" t="s">
        <v>48</v>
      </c>
      <c r="D17" s="15" t="s">
        <v>31</v>
      </c>
      <c r="E17" s="19">
        <v>100</v>
      </c>
      <c r="F17" s="19">
        <v>110</v>
      </c>
      <c r="G17" s="19">
        <v>95</v>
      </c>
      <c r="H17" s="19">
        <v>90</v>
      </c>
      <c r="I17" s="12">
        <f t="shared" si="0"/>
        <v>395</v>
      </c>
      <c r="J17" s="12" t="s">
        <v>47</v>
      </c>
    </row>
    <row r="18" spans="1:10" ht="71.25" x14ac:dyDescent="0.2">
      <c r="A18" s="12">
        <v>12</v>
      </c>
      <c r="B18" s="15" t="s">
        <v>28</v>
      </c>
      <c r="C18" s="15" t="s">
        <v>49</v>
      </c>
      <c r="D18" s="15" t="s">
        <v>33</v>
      </c>
      <c r="E18" s="12">
        <v>22</v>
      </c>
      <c r="F18" s="12">
        <v>0</v>
      </c>
      <c r="G18" s="12">
        <v>0</v>
      </c>
      <c r="H18" s="12">
        <v>0</v>
      </c>
      <c r="I18" s="12">
        <f t="shared" si="0"/>
        <v>22</v>
      </c>
      <c r="J18" s="12" t="s">
        <v>47</v>
      </c>
    </row>
    <row r="19" spans="1:10" ht="71.25" x14ac:dyDescent="0.2">
      <c r="A19" s="12">
        <v>13</v>
      </c>
      <c r="B19" s="15" t="s">
        <v>50</v>
      </c>
      <c r="C19" s="15" t="s">
        <v>51</v>
      </c>
      <c r="D19" s="15" t="s">
        <v>52</v>
      </c>
      <c r="E19" s="12">
        <v>39</v>
      </c>
      <c r="F19" s="12">
        <v>91</v>
      </c>
      <c r="G19" s="12">
        <v>50</v>
      </c>
      <c r="H19" s="12">
        <v>0</v>
      </c>
      <c r="I19" s="12">
        <f t="shared" si="0"/>
        <v>180</v>
      </c>
      <c r="J19" s="12" t="s">
        <v>53</v>
      </c>
    </row>
    <row r="20" spans="1:10" ht="71.25" x14ac:dyDescent="0.2">
      <c r="A20" s="12">
        <v>14</v>
      </c>
      <c r="B20" s="15" t="s">
        <v>50</v>
      </c>
      <c r="C20" s="15" t="s">
        <v>54</v>
      </c>
      <c r="D20" s="15" t="s">
        <v>55</v>
      </c>
      <c r="E20" s="12">
        <v>39</v>
      </c>
      <c r="F20" s="12">
        <v>91</v>
      </c>
      <c r="G20" s="12">
        <v>50</v>
      </c>
      <c r="H20" s="12">
        <v>0</v>
      </c>
      <c r="I20" s="12">
        <f t="shared" si="0"/>
        <v>180</v>
      </c>
      <c r="J20" s="12" t="s">
        <v>53</v>
      </c>
    </row>
    <row r="21" spans="1:10" ht="71.25" x14ac:dyDescent="0.2">
      <c r="A21" s="12">
        <v>15</v>
      </c>
      <c r="B21" s="15" t="s">
        <v>50</v>
      </c>
      <c r="C21" s="15" t="s">
        <v>56</v>
      </c>
      <c r="D21" s="15" t="s">
        <v>57</v>
      </c>
      <c r="E21" s="12">
        <v>37</v>
      </c>
      <c r="F21" s="12">
        <v>86</v>
      </c>
      <c r="G21" s="12">
        <v>48</v>
      </c>
      <c r="H21" s="12">
        <v>0</v>
      </c>
      <c r="I21" s="12">
        <f t="shared" si="0"/>
        <v>171</v>
      </c>
      <c r="J21" s="12" t="s">
        <v>53</v>
      </c>
    </row>
    <row r="22" spans="1:10" ht="71.25" x14ac:dyDescent="0.2">
      <c r="A22" s="12">
        <v>16</v>
      </c>
      <c r="B22" s="15" t="s">
        <v>50</v>
      </c>
      <c r="C22" s="15" t="s">
        <v>56</v>
      </c>
      <c r="D22" s="15" t="s">
        <v>58</v>
      </c>
      <c r="E22" s="12">
        <v>468</v>
      </c>
      <c r="F22" s="12">
        <v>1092</v>
      </c>
      <c r="G22" s="20">
        <v>600</v>
      </c>
      <c r="H22" s="12">
        <v>0</v>
      </c>
      <c r="I22" s="12">
        <f>+E22+F22+G22+H22</f>
        <v>2160</v>
      </c>
      <c r="J22" s="12" t="s">
        <v>53</v>
      </c>
    </row>
    <row r="23" spans="1:10" ht="57" x14ac:dyDescent="0.2">
      <c r="A23" s="12">
        <v>17</v>
      </c>
      <c r="B23" s="15" t="s">
        <v>50</v>
      </c>
      <c r="C23" s="15" t="s">
        <v>59</v>
      </c>
      <c r="D23" s="15" t="s">
        <v>60</v>
      </c>
      <c r="E23" s="12">
        <v>12</v>
      </c>
      <c r="F23" s="12">
        <v>17</v>
      </c>
      <c r="G23" s="12">
        <v>3</v>
      </c>
      <c r="H23" s="12">
        <v>0</v>
      </c>
      <c r="I23" s="12">
        <f>+E23+F23+G23+H23</f>
        <v>32</v>
      </c>
      <c r="J23" s="12" t="s">
        <v>61</v>
      </c>
    </row>
    <row r="24" spans="1:10" ht="85.5" x14ac:dyDescent="0.2">
      <c r="A24" s="12">
        <v>18</v>
      </c>
      <c r="B24" s="15" t="s">
        <v>62</v>
      </c>
      <c r="C24" s="15" t="s">
        <v>63</v>
      </c>
      <c r="D24" s="15" t="s">
        <v>64</v>
      </c>
      <c r="E24" s="12">
        <v>225</v>
      </c>
      <c r="F24" s="12">
        <v>175</v>
      </c>
      <c r="G24" s="12">
        <v>125</v>
      </c>
      <c r="H24" s="12">
        <v>75</v>
      </c>
      <c r="I24" s="12">
        <f t="shared" si="0"/>
        <v>600</v>
      </c>
      <c r="J24" s="12" t="s">
        <v>65</v>
      </c>
    </row>
    <row r="25" spans="1:10" ht="85.5" x14ac:dyDescent="0.2">
      <c r="A25" s="12">
        <v>19</v>
      </c>
      <c r="B25" s="15" t="s">
        <v>62</v>
      </c>
      <c r="C25" s="15" t="s">
        <v>66</v>
      </c>
      <c r="D25" s="15" t="s">
        <v>55</v>
      </c>
      <c r="E25" s="12">
        <v>225</v>
      </c>
      <c r="F25" s="12">
        <v>175</v>
      </c>
      <c r="G25" s="12">
        <v>125</v>
      </c>
      <c r="H25" s="12">
        <v>75</v>
      </c>
      <c r="I25" s="12">
        <f t="shared" ref="I25:I30" si="1">+E25+F25+G25+H25</f>
        <v>600</v>
      </c>
      <c r="J25" s="12" t="s">
        <v>65</v>
      </c>
    </row>
    <row r="26" spans="1:10" ht="85.5" x14ac:dyDescent="0.2">
      <c r="A26" s="12">
        <v>20</v>
      </c>
      <c r="B26" s="15" t="s">
        <v>62</v>
      </c>
      <c r="C26" s="15" t="s">
        <v>67</v>
      </c>
      <c r="D26" s="15" t="s">
        <v>57</v>
      </c>
      <c r="E26" s="12">
        <v>180</v>
      </c>
      <c r="F26" s="12">
        <v>140</v>
      </c>
      <c r="G26" s="12">
        <v>100</v>
      </c>
      <c r="H26" s="12">
        <v>60</v>
      </c>
      <c r="I26" s="12">
        <f t="shared" si="1"/>
        <v>480</v>
      </c>
      <c r="J26" s="12" t="s">
        <v>65</v>
      </c>
    </row>
    <row r="27" spans="1:10" ht="85.5" x14ac:dyDescent="0.2">
      <c r="A27" s="12">
        <v>21</v>
      </c>
      <c r="B27" s="15" t="s">
        <v>62</v>
      </c>
      <c r="C27" s="15" t="s">
        <v>68</v>
      </c>
      <c r="D27" s="15" t="s">
        <v>58</v>
      </c>
      <c r="E27" s="12">
        <v>1800</v>
      </c>
      <c r="F27" s="12">
        <v>1400</v>
      </c>
      <c r="G27" s="12">
        <v>1000</v>
      </c>
      <c r="H27" s="12">
        <v>600</v>
      </c>
      <c r="I27" s="12">
        <f t="shared" si="1"/>
        <v>4800</v>
      </c>
      <c r="J27" s="12" t="s">
        <v>65</v>
      </c>
    </row>
    <row r="28" spans="1:10" ht="57" x14ac:dyDescent="0.2">
      <c r="A28" s="12">
        <v>22</v>
      </c>
      <c r="B28" s="15" t="s">
        <v>62</v>
      </c>
      <c r="C28" s="22" t="s">
        <v>69</v>
      </c>
      <c r="D28" s="15" t="s">
        <v>70</v>
      </c>
      <c r="E28" s="12">
        <v>2</v>
      </c>
      <c r="F28" s="12">
        <v>2</v>
      </c>
      <c r="G28" s="12">
        <v>2</v>
      </c>
      <c r="H28" s="12">
        <v>2</v>
      </c>
      <c r="I28" s="12">
        <f t="shared" si="1"/>
        <v>8</v>
      </c>
      <c r="J28" s="12" t="s">
        <v>71</v>
      </c>
    </row>
    <row r="29" spans="1:10" ht="57" x14ac:dyDescent="0.2">
      <c r="A29" s="12">
        <v>23</v>
      </c>
      <c r="B29" s="15" t="s">
        <v>62</v>
      </c>
      <c r="C29" s="22" t="s">
        <v>69</v>
      </c>
      <c r="D29" s="15" t="s">
        <v>72</v>
      </c>
      <c r="E29" s="12">
        <v>2</v>
      </c>
      <c r="F29" s="12">
        <v>2</v>
      </c>
      <c r="G29" s="12">
        <v>2</v>
      </c>
      <c r="H29" s="12">
        <v>2</v>
      </c>
      <c r="I29" s="12">
        <f t="shared" si="1"/>
        <v>8</v>
      </c>
      <c r="J29" s="12" t="s">
        <v>71</v>
      </c>
    </row>
    <row r="30" spans="1:10" ht="57" x14ac:dyDescent="0.2">
      <c r="A30" s="12">
        <v>24</v>
      </c>
      <c r="B30" s="15" t="s">
        <v>62</v>
      </c>
      <c r="C30" s="22" t="s">
        <v>69</v>
      </c>
      <c r="D30" s="15" t="s">
        <v>73</v>
      </c>
      <c r="E30" s="12">
        <v>24</v>
      </c>
      <c r="F30" s="12">
        <v>24</v>
      </c>
      <c r="G30" s="12">
        <v>24</v>
      </c>
      <c r="H30" s="12">
        <v>24</v>
      </c>
      <c r="I30" s="12">
        <f t="shared" si="1"/>
        <v>96</v>
      </c>
      <c r="J30" s="12" t="s">
        <v>71</v>
      </c>
    </row>
    <row r="31" spans="1:10" ht="85.5" x14ac:dyDescent="0.2">
      <c r="A31" s="12">
        <v>25</v>
      </c>
      <c r="B31" s="15" t="s">
        <v>62</v>
      </c>
      <c r="C31" s="15" t="s">
        <v>74</v>
      </c>
      <c r="D31" s="15" t="s">
        <v>75</v>
      </c>
      <c r="E31" s="12">
        <v>14</v>
      </c>
      <c r="F31" s="12">
        <v>3</v>
      </c>
      <c r="G31" s="12">
        <v>0</v>
      </c>
      <c r="H31" s="12">
        <v>0</v>
      </c>
      <c r="I31" s="12">
        <f t="shared" si="0"/>
        <v>17</v>
      </c>
      <c r="J31" s="12" t="s">
        <v>65</v>
      </c>
    </row>
    <row r="32" spans="1:10" ht="85.5" x14ac:dyDescent="0.2">
      <c r="A32" s="12">
        <v>26</v>
      </c>
      <c r="B32" s="15" t="s">
        <v>62</v>
      </c>
      <c r="C32" s="15" t="s">
        <v>76</v>
      </c>
      <c r="D32" s="15" t="s">
        <v>77</v>
      </c>
      <c r="E32" s="12">
        <v>520</v>
      </c>
      <c r="F32" s="12">
        <v>440</v>
      </c>
      <c r="G32" s="12">
        <v>260</v>
      </c>
      <c r="H32" s="12">
        <v>170</v>
      </c>
      <c r="I32" s="12">
        <f t="shared" si="0"/>
        <v>1390</v>
      </c>
      <c r="J32" s="12" t="s">
        <v>65</v>
      </c>
    </row>
  </sheetData>
  <autoFilter ref="A6:J32" xr:uid="{6A97A64D-8C92-455F-B498-A81BEC821190}"/>
  <mergeCells count="3">
    <mergeCell ref="E2:F2"/>
    <mergeCell ref="E3:F3"/>
    <mergeCell ref="E5:H5"/>
  </mergeCells>
  <dataValidations count="1">
    <dataValidation type="whole" allowBlank="1" showInputMessage="1" showErrorMessage="1" promptTitle="solo se permite número enteros" sqref="E7:H32" xr:uid="{EE5B7A52-9BF2-446A-8089-95F140AE335C}">
      <formula1>0</formula1>
      <formula2>1000000</formula2>
    </dataValidation>
  </dataValidations>
  <pageMargins left="0.7" right="0.7" top="0.75" bottom="0.75" header="0.3" footer="0.3"/>
  <pageSetup orientation="portrait" r:id="rId1"/>
  <customProperties>
    <customPr name="layoutContexts"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53491E7D-F63E-4D5E-91A6-8A48F0104154}">
          <x14:formula1>
            <xm:f>Sheet4!$B$3:$B$223</xm:f>
          </x14:formula1>
          <xm:sqref>J7:J12</xm:sqref>
        </x14:dataValidation>
        <x14:dataValidation type="list" allowBlank="1" showInputMessage="1" showErrorMessage="1" xr:uid="{9B5FA99E-776B-4755-9CC4-E6501EF7A7FB}">
          <x14:formula1>
            <xm:f>Sheet2!$A$2:$A$49</xm:f>
          </x14:formula1>
          <xm:sqref>B7:B32</xm:sqref>
        </x14:dataValidation>
        <x14:dataValidation type="list" allowBlank="1" showInputMessage="1" showErrorMessage="1" xr:uid="{080295F9-B1FC-4803-9CE6-CD3738E9522C}">
          <x14:formula1>
            <xm:f>Sheet3!$D$2:$D$154</xm:f>
          </x14:formula1>
          <xm:sqref>D7:D32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2A1CE-84CF-4160-896F-92CF77201555}">
  <sheetPr codeName="Sheet7">
    <tabColor rgb="FF70AD47"/>
  </sheetPr>
  <dimension ref="A2:J10"/>
  <sheetViews>
    <sheetView topLeftCell="D1" workbookViewId="0">
      <selection activeCell="B7" sqref="B7:J10"/>
    </sheetView>
  </sheetViews>
  <sheetFormatPr defaultColWidth="9" defaultRowHeight="14.25" x14ac:dyDescent="0.2"/>
  <cols>
    <col min="1" max="1" width="9" style="17"/>
    <col min="2" max="2" width="50.5" style="13" customWidth="1"/>
    <col min="3" max="3" width="40.375" style="13" customWidth="1"/>
    <col min="4" max="4" width="72.75" style="13" customWidth="1"/>
    <col min="5" max="8" width="9" style="17" customWidth="1"/>
    <col min="9" max="9" width="9" style="17" bestFit="1" customWidth="1"/>
    <col min="10" max="10" width="47.625" style="17" customWidth="1"/>
    <col min="11" max="16384" width="9" style="5"/>
  </cols>
  <sheetData>
    <row r="2" spans="1:10" x14ac:dyDescent="0.2">
      <c r="D2" s="21" t="s">
        <v>0</v>
      </c>
      <c r="E2" s="31" t="s">
        <v>1</v>
      </c>
      <c r="F2" s="32"/>
    </row>
    <row r="3" spans="1:10" x14ac:dyDescent="0.2">
      <c r="D3" s="14" t="s">
        <v>2</v>
      </c>
      <c r="E3" s="29">
        <v>4358</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12">
        <v>1</v>
      </c>
      <c r="B7" s="15" t="s">
        <v>78</v>
      </c>
      <c r="C7" s="15" t="s">
        <v>79</v>
      </c>
      <c r="D7" s="15" t="s">
        <v>80</v>
      </c>
      <c r="E7" s="12">
        <v>482</v>
      </c>
      <c r="F7" s="12">
        <v>557</v>
      </c>
      <c r="G7" s="12">
        <v>552</v>
      </c>
      <c r="H7" s="12">
        <v>522</v>
      </c>
      <c r="I7" s="12">
        <f t="shared" ref="I7:I10" si="0">SUM(E7:H7)</f>
        <v>2113</v>
      </c>
      <c r="J7" s="12" t="s">
        <v>81</v>
      </c>
    </row>
    <row r="8" spans="1:10" ht="71.25" x14ac:dyDescent="0.2">
      <c r="A8" s="12">
        <v>2</v>
      </c>
      <c r="B8" s="15" t="s">
        <v>78</v>
      </c>
      <c r="C8" s="15" t="s">
        <v>82</v>
      </c>
      <c r="D8" s="15" t="s">
        <v>83</v>
      </c>
      <c r="E8" s="12">
        <v>672</v>
      </c>
      <c r="F8" s="12">
        <v>907</v>
      </c>
      <c r="G8" s="12">
        <v>909</v>
      </c>
      <c r="H8" s="12">
        <v>812</v>
      </c>
      <c r="I8" s="12">
        <f t="shared" si="0"/>
        <v>3300</v>
      </c>
      <c r="J8" s="12" t="s">
        <v>81</v>
      </c>
    </row>
    <row r="9" spans="1:10" ht="71.25" x14ac:dyDescent="0.2">
      <c r="A9" s="12">
        <v>3</v>
      </c>
      <c r="B9" s="15" t="s">
        <v>78</v>
      </c>
      <c r="C9" s="15" t="s">
        <v>82</v>
      </c>
      <c r="D9" s="15" t="s">
        <v>84</v>
      </c>
      <c r="E9" s="12">
        <v>295</v>
      </c>
      <c r="F9" s="12">
        <v>390</v>
      </c>
      <c r="G9" s="12">
        <v>395</v>
      </c>
      <c r="H9" s="12">
        <v>370</v>
      </c>
      <c r="I9" s="12">
        <f t="shared" si="0"/>
        <v>1450</v>
      </c>
      <c r="J9" s="12" t="s">
        <v>85</v>
      </c>
    </row>
    <row r="10" spans="1:10" ht="71.25" x14ac:dyDescent="0.2">
      <c r="A10" s="12">
        <v>4</v>
      </c>
      <c r="B10" s="15" t="s">
        <v>78</v>
      </c>
      <c r="C10" s="15" t="s">
        <v>86</v>
      </c>
      <c r="D10" s="15" t="s">
        <v>87</v>
      </c>
      <c r="E10" s="12">
        <v>180</v>
      </c>
      <c r="F10" s="12">
        <v>203</v>
      </c>
      <c r="G10" s="12">
        <v>365</v>
      </c>
      <c r="H10" s="12">
        <v>402</v>
      </c>
      <c r="I10" s="12">
        <f t="shared" si="0"/>
        <v>1150</v>
      </c>
      <c r="J10" s="12" t="s">
        <v>85</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10" xr:uid="{E3FBBB10-B6E6-4CAD-B9B4-E79A26C6258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74404CB0-CF5F-4E2B-A5FA-A34424E01575}">
          <x14:formula1>
            <xm:f>Sheet3!$D$2:$D$154</xm:f>
          </x14:formula1>
          <xm:sqref>D7:D10</xm:sqref>
        </x14:dataValidation>
        <x14:dataValidation type="list" allowBlank="1" showInputMessage="1" showErrorMessage="1" xr:uid="{70DDCBEA-1B05-4B78-B6EE-FE07E4590508}">
          <x14:formula1>
            <xm:f>Sheet4!$B$3:$B$223</xm:f>
          </x14:formula1>
          <xm:sqref>J7:J9</xm:sqref>
        </x14:dataValidation>
        <x14:dataValidation type="list" allowBlank="1" showInputMessage="1" showErrorMessage="1" xr:uid="{67D51C89-BD68-4D09-9CAF-371954A635E3}">
          <x14:formula1>
            <xm:f>Sheet2!$A$2:$A$49</xm:f>
          </x14:formula1>
          <xm:sqref>B7:B10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71D2C-708C-4DAC-961F-556412F4ADF4}">
  <sheetPr codeName="Sheet8">
    <tabColor rgb="FF70AD47"/>
  </sheetPr>
  <dimension ref="A1:J13"/>
  <sheetViews>
    <sheetView topLeftCell="C9" workbookViewId="0">
      <selection activeCell="B7" sqref="B7:J13"/>
    </sheetView>
  </sheetViews>
  <sheetFormatPr defaultColWidth="9" defaultRowHeight="14.25" x14ac:dyDescent="0.2"/>
  <cols>
    <col min="1" max="1" width="9" style="17"/>
    <col min="2" max="2" width="50.5" style="13" customWidth="1"/>
    <col min="3" max="3" width="40.375" style="13" customWidth="1"/>
    <col min="4" max="4" width="76.25" style="13" customWidth="1"/>
    <col min="5" max="8" width="9" style="17" customWidth="1"/>
    <col min="9" max="9" width="9" style="17" bestFit="1" customWidth="1"/>
    <col min="10" max="10" width="25.875" style="17" customWidth="1"/>
    <col min="11" max="16384" width="9" style="5"/>
  </cols>
  <sheetData>
    <row r="1" spans="1:10" ht="15" thickBot="1" x14ac:dyDescent="0.25"/>
    <row r="2" spans="1:10" x14ac:dyDescent="0.2">
      <c r="D2" s="21" t="s">
        <v>0</v>
      </c>
      <c r="E2" s="31" t="s">
        <v>1</v>
      </c>
      <c r="F2" s="32"/>
    </row>
    <row r="3" spans="1:10" ht="15" thickBot="1" x14ac:dyDescent="0.25">
      <c r="D3" s="14" t="s">
        <v>2</v>
      </c>
      <c r="E3" s="29">
        <v>61</v>
      </c>
      <c r="F3" s="30"/>
    </row>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2.5" customHeight="1" x14ac:dyDescent="0.2">
      <c r="A7" s="12">
        <v>1</v>
      </c>
      <c r="B7" s="15" t="s">
        <v>88</v>
      </c>
      <c r="C7" s="15" t="s">
        <v>89</v>
      </c>
      <c r="D7" s="15" t="s">
        <v>90</v>
      </c>
      <c r="E7" s="12">
        <v>47</v>
      </c>
      <c r="F7" s="12">
        <v>29</v>
      </c>
      <c r="G7" s="12">
        <v>11</v>
      </c>
      <c r="H7" s="12">
        <v>4</v>
      </c>
      <c r="I7" s="12">
        <f t="shared" ref="I7:I13" si="0">SUM(E7:H7)</f>
        <v>91</v>
      </c>
      <c r="J7" s="12" t="s">
        <v>91</v>
      </c>
    </row>
    <row r="8" spans="1:10" ht="114" x14ac:dyDescent="0.2">
      <c r="A8" s="12">
        <v>2</v>
      </c>
      <c r="B8" s="15" t="s">
        <v>88</v>
      </c>
      <c r="C8" s="15" t="s">
        <v>89</v>
      </c>
      <c r="D8" s="15" t="s">
        <v>92</v>
      </c>
      <c r="E8" s="12">
        <v>25</v>
      </c>
      <c r="F8" s="12">
        <v>5</v>
      </c>
      <c r="G8" s="12">
        <v>5</v>
      </c>
      <c r="H8" s="12">
        <v>0</v>
      </c>
      <c r="I8" s="12">
        <f t="shared" si="0"/>
        <v>35</v>
      </c>
      <c r="J8" s="12" t="s">
        <v>91</v>
      </c>
    </row>
    <row r="9" spans="1:10" ht="114" x14ac:dyDescent="0.2">
      <c r="A9" s="12">
        <v>3</v>
      </c>
      <c r="B9" s="15" t="s">
        <v>88</v>
      </c>
      <c r="C9" s="15" t="s">
        <v>89</v>
      </c>
      <c r="D9" s="15" t="s">
        <v>93</v>
      </c>
      <c r="E9" s="12">
        <v>0</v>
      </c>
      <c r="F9" s="12">
        <v>5</v>
      </c>
      <c r="G9" s="12">
        <v>5</v>
      </c>
      <c r="H9" s="12">
        <v>2</v>
      </c>
      <c r="I9" s="12">
        <f t="shared" si="0"/>
        <v>12</v>
      </c>
      <c r="J9" s="12" t="s">
        <v>91</v>
      </c>
    </row>
    <row r="10" spans="1:10" ht="114" x14ac:dyDescent="0.2">
      <c r="A10" s="12">
        <v>4</v>
      </c>
      <c r="B10" s="15" t="s">
        <v>88</v>
      </c>
      <c r="C10" s="15" t="s">
        <v>89</v>
      </c>
      <c r="D10" s="15" t="s">
        <v>94</v>
      </c>
      <c r="E10" s="12">
        <v>0</v>
      </c>
      <c r="F10" s="12">
        <v>5</v>
      </c>
      <c r="G10" s="12">
        <v>5</v>
      </c>
      <c r="H10" s="12">
        <v>2</v>
      </c>
      <c r="I10" s="12">
        <f t="shared" si="0"/>
        <v>12</v>
      </c>
      <c r="J10" s="12" t="s">
        <v>91</v>
      </c>
    </row>
    <row r="11" spans="1:10" ht="114" x14ac:dyDescent="0.2">
      <c r="A11" s="12">
        <v>5</v>
      </c>
      <c r="B11" s="15" t="s">
        <v>88</v>
      </c>
      <c r="C11" s="15" t="s">
        <v>89</v>
      </c>
      <c r="D11" s="15" t="s">
        <v>95</v>
      </c>
      <c r="E11" s="12">
        <v>0</v>
      </c>
      <c r="F11" s="12">
        <v>5</v>
      </c>
      <c r="G11" s="12">
        <v>5</v>
      </c>
      <c r="H11" s="12">
        <v>2</v>
      </c>
      <c r="I11" s="12">
        <f t="shared" si="0"/>
        <v>12</v>
      </c>
      <c r="J11" s="12" t="s">
        <v>91</v>
      </c>
    </row>
    <row r="12" spans="1:10" ht="114" x14ac:dyDescent="0.2">
      <c r="A12" s="12">
        <v>6</v>
      </c>
      <c r="B12" s="15" t="s">
        <v>88</v>
      </c>
      <c r="C12" s="15" t="s">
        <v>96</v>
      </c>
      <c r="D12" s="15" t="s">
        <v>97</v>
      </c>
      <c r="E12" s="12">
        <v>4</v>
      </c>
      <c r="F12" s="12">
        <v>4</v>
      </c>
      <c r="G12" s="12">
        <v>4</v>
      </c>
      <c r="H12" s="12">
        <v>4</v>
      </c>
      <c r="I12" s="12">
        <f t="shared" si="0"/>
        <v>16</v>
      </c>
      <c r="J12" s="12" t="s">
        <v>91</v>
      </c>
    </row>
    <row r="13" spans="1:10" ht="71.25" x14ac:dyDescent="0.2">
      <c r="A13" s="12">
        <v>7</v>
      </c>
      <c r="B13" s="15" t="s">
        <v>88</v>
      </c>
      <c r="C13" s="15" t="s">
        <v>98</v>
      </c>
      <c r="D13" s="15" t="s">
        <v>99</v>
      </c>
      <c r="E13" s="12">
        <v>14</v>
      </c>
      <c r="F13" s="12">
        <v>9</v>
      </c>
      <c r="G13" s="12">
        <v>3</v>
      </c>
      <c r="H13" s="12">
        <v>0</v>
      </c>
      <c r="I13" s="12">
        <f t="shared" si="0"/>
        <v>26</v>
      </c>
      <c r="J13" s="12" t="s">
        <v>91</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13" xr:uid="{3FAD880E-E9BB-4050-94D7-54390AABF293}">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FAFF1416-B38E-4CF2-85BC-A5ED7DB439B3}">
          <x14:formula1>
            <xm:f>Sheet2!$A$2:$A$49</xm:f>
          </x14:formula1>
          <xm:sqref>B7:B13</xm:sqref>
        </x14:dataValidation>
        <x14:dataValidation type="list" allowBlank="1" showInputMessage="1" showErrorMessage="1" xr:uid="{2E051915-B1D6-4B17-9C66-AAD6A95C831D}">
          <x14:formula1>
            <xm:f>Sheet3!$D$2:$D$154</xm:f>
          </x14:formula1>
          <xm:sqref>D7:D13</xm:sqref>
        </x14:dataValidation>
        <x14:dataValidation type="list" allowBlank="1" showInputMessage="1" showErrorMessage="1" xr:uid="{6AFF5468-2573-4C0A-9F42-B71155170D73}">
          <x14:formula1>
            <xm:f>Sheet4!$B$3:$B$223</xm:f>
          </x14:formula1>
          <xm:sqref>J7:J13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E7469-10AF-4313-A431-88000B9FD27A}">
  <sheetPr codeName="Sheet10">
    <tabColor rgb="FF70AD47"/>
  </sheetPr>
  <dimension ref="A2:J10"/>
  <sheetViews>
    <sheetView topLeftCell="C1" zoomScale="110" zoomScaleNormal="110" workbookViewId="0">
      <selection activeCell="C7" sqref="C7"/>
    </sheetView>
  </sheetViews>
  <sheetFormatPr defaultColWidth="9" defaultRowHeight="14.25" x14ac:dyDescent="0.2"/>
  <cols>
    <col min="1" max="1" width="10.75" style="17" customWidth="1"/>
    <col min="2" max="2" width="50.5" style="13" customWidth="1"/>
    <col min="3" max="3" width="40.375" style="13" customWidth="1"/>
    <col min="4" max="4" width="45" style="13" customWidth="1"/>
    <col min="5" max="9" width="9" style="17"/>
    <col min="10" max="10" width="47.625" style="17" customWidth="1"/>
    <col min="11" max="16384" width="9" style="5"/>
  </cols>
  <sheetData>
    <row r="2" spans="1:10" x14ac:dyDescent="0.2">
      <c r="D2" s="21" t="s">
        <v>0</v>
      </c>
      <c r="E2" s="31" t="s">
        <v>1</v>
      </c>
      <c r="F2" s="32"/>
    </row>
    <row r="3" spans="1:10" x14ac:dyDescent="0.2">
      <c r="D3" s="14" t="s">
        <v>2</v>
      </c>
      <c r="E3" s="29">
        <v>2820</v>
      </c>
      <c r="F3" s="30"/>
    </row>
    <row r="5" spans="1:10" ht="15" customHeight="1" x14ac:dyDescent="0.2">
      <c r="E5" s="26" t="s">
        <v>3</v>
      </c>
      <c r="F5" s="27"/>
      <c r="G5" s="27"/>
      <c r="H5" s="28"/>
    </row>
    <row r="6" spans="1:10" ht="25.15" customHeight="1" x14ac:dyDescent="0.2">
      <c r="A6" s="6" t="s">
        <v>4</v>
      </c>
      <c r="B6" s="6" t="s">
        <v>5</v>
      </c>
      <c r="C6" s="9" t="s">
        <v>6</v>
      </c>
      <c r="D6" s="7" t="s">
        <v>7</v>
      </c>
      <c r="E6" s="3" t="s">
        <v>8</v>
      </c>
      <c r="F6" s="3" t="s">
        <v>9</v>
      </c>
      <c r="G6" s="10" t="s">
        <v>10</v>
      </c>
      <c r="H6" s="4" t="s">
        <v>11</v>
      </c>
      <c r="I6" s="11" t="s">
        <v>12</v>
      </c>
      <c r="J6" s="11" t="s">
        <v>13</v>
      </c>
    </row>
    <row r="7" spans="1:10" ht="57" x14ac:dyDescent="0.2">
      <c r="A7" s="12">
        <v>1</v>
      </c>
      <c r="B7" s="15" t="s">
        <v>100</v>
      </c>
      <c r="C7" s="15" t="s">
        <v>101</v>
      </c>
      <c r="D7" s="15" t="s">
        <v>75</v>
      </c>
      <c r="E7" s="12">
        <v>2</v>
      </c>
      <c r="F7" s="12">
        <v>7</v>
      </c>
      <c r="G7" s="12">
        <v>6</v>
      </c>
      <c r="H7" s="12"/>
      <c r="I7" s="12">
        <f>SUM(E7:H7)</f>
        <v>15</v>
      </c>
      <c r="J7" s="12" t="s">
        <v>102</v>
      </c>
    </row>
    <row r="8" spans="1:10" ht="57" x14ac:dyDescent="0.2">
      <c r="A8" s="12">
        <v>2</v>
      </c>
      <c r="B8" s="15" t="s">
        <v>100</v>
      </c>
      <c r="C8" s="15" t="s">
        <v>103</v>
      </c>
      <c r="D8" s="15" t="s">
        <v>77</v>
      </c>
      <c r="E8" s="12">
        <v>24</v>
      </c>
      <c r="F8" s="12">
        <v>84</v>
      </c>
      <c r="G8" s="12">
        <v>72</v>
      </c>
      <c r="H8" s="12"/>
      <c r="I8" s="12">
        <f t="shared" ref="I8:I10" si="0">SUM(E8:H8)</f>
        <v>180</v>
      </c>
      <c r="J8" s="12" t="s">
        <v>104</v>
      </c>
    </row>
    <row r="9" spans="1:10" ht="57" x14ac:dyDescent="0.2">
      <c r="A9" s="12">
        <v>3</v>
      </c>
      <c r="B9" s="15" t="s">
        <v>100</v>
      </c>
      <c r="C9" s="15" t="s">
        <v>105</v>
      </c>
      <c r="D9" s="15" t="s">
        <v>106</v>
      </c>
      <c r="E9" s="12">
        <v>2</v>
      </c>
      <c r="F9" s="12">
        <v>7</v>
      </c>
      <c r="G9" s="12">
        <v>6</v>
      </c>
      <c r="H9" s="12"/>
      <c r="I9" s="12">
        <f t="shared" si="0"/>
        <v>15</v>
      </c>
      <c r="J9" s="12" t="s">
        <v>107</v>
      </c>
    </row>
    <row r="10" spans="1:10" ht="57" x14ac:dyDescent="0.2">
      <c r="A10" s="12">
        <v>4</v>
      </c>
      <c r="B10" s="15" t="s">
        <v>62</v>
      </c>
      <c r="C10" s="15" t="s">
        <v>108</v>
      </c>
      <c r="D10" s="15" t="s">
        <v>87</v>
      </c>
      <c r="E10" s="12">
        <v>507</v>
      </c>
      <c r="F10" s="12">
        <v>1002</v>
      </c>
      <c r="G10" s="12">
        <v>954</v>
      </c>
      <c r="H10" s="12">
        <v>357</v>
      </c>
      <c r="I10" s="12">
        <f t="shared" si="0"/>
        <v>2820</v>
      </c>
      <c r="J10" s="12" t="s">
        <v>107</v>
      </c>
    </row>
  </sheetData>
  <mergeCells count="3">
    <mergeCell ref="E5:H5"/>
    <mergeCell ref="E2:F2"/>
    <mergeCell ref="E3:F3"/>
  </mergeCells>
  <dataValidations count="1">
    <dataValidation type="whole" allowBlank="1" showInputMessage="1" showErrorMessage="1" promptTitle="solo se permite número enteros" sqref="E7:H52" xr:uid="{A40EEA6B-F2FE-4A7E-A016-55E1982B672A}">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965C0C08-7B06-46F5-9534-92C01A57CA63}">
          <x14:formula1>
            <xm:f>Sheet2!$A$2:$A$49</xm:f>
          </x14:formula1>
          <xm:sqref>B11:B50</xm:sqref>
        </x14:dataValidation>
        <x14:dataValidation type="list" allowBlank="1" showInputMessage="1" showErrorMessage="1" xr:uid="{825B8073-4024-4C8A-914C-0D049651A61F}">
          <x14:formula1>
            <xm:f>Sheet3!$D$2:$D$154</xm:f>
          </x14:formula1>
          <xm:sqref>D7</xm:sqref>
        </x14:dataValidation>
        <x14:dataValidation type="list" allowBlank="1" showInputMessage="1" showErrorMessage="1" xr:uid="{5917C3F8-E5B1-4511-A2AB-06213AB87FBA}">
          <x14:formula1>
            <xm:f>Sheet4!$B$3:$B$223</xm:f>
          </x14:formula1>
          <xm:sqref>J7:J50</xm:sqref>
        </x14:dataValidation>
        <x14:dataValidation type="list" allowBlank="1" showInputMessage="1" showErrorMessage="1" xr:uid="{2D3BC412-F42D-454A-B64D-92BBBAA19FB2}">
          <x14:formula1>
            <xm:f>Sheet2!#REF!</xm:f>
          </x14:formula1>
          <xm:sqref>D8:D50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41633-44D5-4088-82F9-58FFD8255F5B}">
  <sheetPr codeName="Sheet6">
    <tabColor rgb="FF70AD47"/>
  </sheetPr>
  <dimension ref="A2:J9"/>
  <sheetViews>
    <sheetView topLeftCell="C1" workbookViewId="0">
      <selection activeCell="B7" sqref="B7:J9"/>
    </sheetView>
  </sheetViews>
  <sheetFormatPr defaultColWidth="9" defaultRowHeight="14.25" x14ac:dyDescent="0.2"/>
  <cols>
    <col min="1" max="1" width="9" style="17"/>
    <col min="2" max="2" width="50.5" style="13" customWidth="1"/>
    <col min="3" max="3" width="40.375" style="13" customWidth="1"/>
    <col min="4" max="4" width="45" style="13" customWidth="1"/>
    <col min="5" max="8" width="9" style="17" customWidth="1"/>
    <col min="9" max="9" width="9" style="17" bestFit="1" customWidth="1"/>
    <col min="10" max="10" width="47.625" style="17" customWidth="1"/>
    <col min="11" max="16384" width="9" style="5"/>
  </cols>
  <sheetData>
    <row r="2" spans="1:10" x14ac:dyDescent="0.2">
      <c r="D2" s="21" t="s">
        <v>0</v>
      </c>
      <c r="E2" s="31" t="s">
        <v>1</v>
      </c>
      <c r="F2" s="32"/>
    </row>
    <row r="3" spans="1:10" x14ac:dyDescent="0.2">
      <c r="D3" s="14" t="s">
        <v>2</v>
      </c>
      <c r="E3" s="29">
        <v>700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12">
        <v>1</v>
      </c>
      <c r="B7" s="15" t="s">
        <v>109</v>
      </c>
      <c r="C7" s="15" t="s">
        <v>110</v>
      </c>
      <c r="D7" s="15" t="s">
        <v>111</v>
      </c>
      <c r="E7" s="12">
        <v>174</v>
      </c>
      <c r="F7" s="12">
        <v>176</v>
      </c>
      <c r="G7" s="12">
        <v>176</v>
      </c>
      <c r="H7" s="12">
        <v>174</v>
      </c>
      <c r="I7" s="12">
        <f t="shared" ref="I7:I9" si="0">SUM(E7:H7)</f>
        <v>700</v>
      </c>
      <c r="J7" s="12" t="s">
        <v>112</v>
      </c>
    </row>
    <row r="8" spans="1:10" ht="71.25" x14ac:dyDescent="0.2">
      <c r="A8" s="12">
        <v>2</v>
      </c>
      <c r="B8" s="15" t="s">
        <v>109</v>
      </c>
      <c r="C8" s="15" t="s">
        <v>113</v>
      </c>
      <c r="D8" s="15" t="s">
        <v>114</v>
      </c>
      <c r="E8" s="12">
        <v>162</v>
      </c>
      <c r="F8" s="12">
        <v>163</v>
      </c>
      <c r="G8" s="12">
        <v>163</v>
      </c>
      <c r="H8" s="12">
        <v>162</v>
      </c>
      <c r="I8" s="12">
        <f t="shared" si="0"/>
        <v>650</v>
      </c>
      <c r="J8" s="12" t="s">
        <v>112</v>
      </c>
    </row>
    <row r="9" spans="1:10" ht="71.25" x14ac:dyDescent="0.2">
      <c r="A9" s="12">
        <v>3</v>
      </c>
      <c r="B9" s="15" t="s">
        <v>109</v>
      </c>
      <c r="C9" s="15" t="s">
        <v>115</v>
      </c>
      <c r="D9" s="15" t="s">
        <v>116</v>
      </c>
      <c r="E9" s="12">
        <v>61</v>
      </c>
      <c r="F9" s="12">
        <v>64</v>
      </c>
      <c r="G9" s="12">
        <v>63</v>
      </c>
      <c r="H9" s="12">
        <v>62</v>
      </c>
      <c r="I9" s="12">
        <f t="shared" si="0"/>
        <v>250</v>
      </c>
      <c r="J9" s="12" t="s">
        <v>112</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9" xr:uid="{4364E1BE-0A51-46CB-B757-0CA438A64B5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6A5C7C8-A21F-4C1F-A871-1BE895D0E6E4}">
          <x14:formula1>
            <xm:f>Sheet2!$A$2:$A$49</xm:f>
          </x14:formula1>
          <xm:sqref>B7:B9</xm:sqref>
        </x14:dataValidation>
        <x14:dataValidation type="list" allowBlank="1" showInputMessage="1" showErrorMessage="1" xr:uid="{ADDF78C3-01FF-4B5F-9044-BF194FB29A3E}">
          <x14:formula1>
            <xm:f>Sheet4!$B$3:$B$223</xm:f>
          </x14:formula1>
          <xm:sqref>J7:J9</xm:sqref>
        </x14:dataValidation>
        <x14:dataValidation type="list" allowBlank="1" showInputMessage="1" showErrorMessage="1" xr:uid="{CE3DF695-CC5B-473F-928D-B522D92C62CD}">
          <x14:formula1>
            <xm:f>Sheet2!#REF!</xm:f>
          </x14:formula1>
          <xm:sqref>D8:D9</xm:sqref>
        </x14:dataValidation>
        <x14:dataValidation type="list" allowBlank="1" showInputMessage="1" showErrorMessage="1" xr:uid="{844EC32E-E1A2-4C57-91EB-83D9FA5A68FD}">
          <x14:formula1>
            <xm:f>Sheet3!$D$2:$D$154</xm:f>
          </x14:formula1>
          <xm:sqref>D7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79788-0D5E-4095-A47C-695E20561C32}">
  <sheetPr codeName="Sheet5">
    <tabColor rgb="FF70AD47"/>
  </sheetPr>
  <dimension ref="A2:J7"/>
  <sheetViews>
    <sheetView topLeftCell="C1" workbookViewId="0">
      <selection activeCell="B7" sqref="B7:J7"/>
    </sheetView>
  </sheetViews>
  <sheetFormatPr defaultColWidth="9" defaultRowHeight="14.25" x14ac:dyDescent="0.2"/>
  <cols>
    <col min="1" max="1" width="9" style="17"/>
    <col min="2" max="2" width="50.5" style="13" customWidth="1"/>
    <col min="3" max="3" width="40.375" style="13" customWidth="1"/>
    <col min="4" max="4" width="45" style="13" customWidth="1"/>
    <col min="5" max="8" width="9" style="17" customWidth="1"/>
    <col min="9" max="9" width="9" style="17" bestFit="1" customWidth="1"/>
    <col min="10" max="10" width="47.625" style="17" customWidth="1"/>
    <col min="11" max="16384" width="9" style="5"/>
  </cols>
  <sheetData>
    <row r="2" spans="1:10" x14ac:dyDescent="0.2">
      <c r="D2" s="21" t="s">
        <v>0</v>
      </c>
      <c r="E2" s="31" t="s">
        <v>1</v>
      </c>
      <c r="F2" s="32"/>
    </row>
    <row r="3" spans="1:10" x14ac:dyDescent="0.2">
      <c r="D3" s="14" t="s">
        <v>2</v>
      </c>
      <c r="E3" s="29">
        <v>800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12">
        <v>1</v>
      </c>
      <c r="B7" s="15" t="s">
        <v>78</v>
      </c>
      <c r="C7" s="15" t="s">
        <v>117</v>
      </c>
      <c r="D7" s="15" t="s">
        <v>80</v>
      </c>
      <c r="E7" s="12">
        <v>200</v>
      </c>
      <c r="F7" s="12">
        <v>201</v>
      </c>
      <c r="G7" s="12">
        <v>200</v>
      </c>
      <c r="H7" s="12">
        <v>199</v>
      </c>
      <c r="I7" s="12">
        <f t="shared" ref="I7" si="0">SUM(E7:H7)</f>
        <v>800</v>
      </c>
      <c r="J7" s="12" t="s">
        <v>112</v>
      </c>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7" xr:uid="{8455E9FC-F534-4B9A-B87D-3D2186ED292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857A4BC9-3370-497E-8AD8-903A9ECC2A80}">
          <x14:formula1>
            <xm:f>Sheet3!$D$2:$D$154</xm:f>
          </x14:formula1>
          <xm:sqref>D7</xm:sqref>
        </x14:dataValidation>
        <x14:dataValidation type="list" allowBlank="1" showInputMessage="1" showErrorMessage="1" xr:uid="{1599DE84-15EB-4DDE-B05B-350218A2F8BF}">
          <x14:formula1>
            <xm:f>Sheet4!$B$3:$B$223</xm:f>
          </x14:formula1>
          <xm:sqref>J7</xm:sqref>
        </x14:dataValidation>
        <x14:dataValidation type="list" allowBlank="1" showInputMessage="1" showErrorMessage="1" xr:uid="{81DB3D49-186E-41E6-9C1D-A8C1597F343F}">
          <x14:formula1>
            <xm:f>Sheet2!$A$2:$A$49</xm:f>
          </x14:formula1>
          <xm:sqref>B7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DEFF2-210E-42DE-A94D-702D520BCAD4}">
  <sheetPr codeName="Sheet11">
    <tabColor rgb="FF92D050"/>
  </sheetPr>
  <dimension ref="A2:J51"/>
  <sheetViews>
    <sheetView topLeftCell="C36" zoomScaleNormal="100" workbookViewId="0">
      <selection activeCell="B7" sqref="B7:J45"/>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bestFit="1" customWidth="1"/>
    <col min="10" max="10" width="47.625" style="13" customWidth="1"/>
    <col min="11" max="16384" width="9" style="5"/>
  </cols>
  <sheetData>
    <row r="2" spans="1:10" ht="14.25" customHeight="1" x14ac:dyDescent="0.2">
      <c r="D2" s="21" t="s">
        <v>0</v>
      </c>
      <c r="E2" s="31" t="s">
        <v>1</v>
      </c>
      <c r="F2" s="32"/>
    </row>
    <row r="3" spans="1:10" ht="14.25" customHeight="1" x14ac:dyDescent="0.2">
      <c r="D3" s="14" t="s">
        <v>2</v>
      </c>
      <c r="E3" s="29">
        <v>44332</v>
      </c>
      <c r="F3" s="30"/>
    </row>
    <row r="5" spans="1:10" ht="14.25" customHeight="1" x14ac:dyDescent="0.2">
      <c r="E5" s="26" t="s">
        <v>3</v>
      </c>
      <c r="F5" s="27"/>
      <c r="G5" s="27"/>
      <c r="H5" s="28"/>
    </row>
    <row r="6" spans="1:10" x14ac:dyDescent="0.2">
      <c r="A6" s="6" t="s">
        <v>4</v>
      </c>
      <c r="B6" s="6" t="s">
        <v>5</v>
      </c>
      <c r="C6" s="9" t="s">
        <v>6</v>
      </c>
      <c r="D6" s="7" t="s">
        <v>7</v>
      </c>
      <c r="E6" s="3" t="s">
        <v>8</v>
      </c>
      <c r="F6" s="3" t="s">
        <v>9</v>
      </c>
      <c r="G6" s="10" t="s">
        <v>10</v>
      </c>
      <c r="H6" s="4" t="s">
        <v>11</v>
      </c>
      <c r="I6" s="11" t="s">
        <v>12</v>
      </c>
      <c r="J6" s="11" t="s">
        <v>13</v>
      </c>
    </row>
    <row r="7" spans="1:10" ht="57" x14ac:dyDescent="0.2">
      <c r="A7" s="2">
        <v>1</v>
      </c>
      <c r="B7" s="15" t="s">
        <v>118</v>
      </c>
      <c r="C7" s="15" t="s">
        <v>119</v>
      </c>
      <c r="D7" s="15" t="s">
        <v>120</v>
      </c>
      <c r="E7" s="2">
        <v>9107</v>
      </c>
      <c r="F7" s="2">
        <v>3512</v>
      </c>
      <c r="G7" s="2">
        <v>3942</v>
      </c>
      <c r="H7" s="2">
        <v>4154</v>
      </c>
      <c r="I7" s="2">
        <f>SUM(E7:H7)</f>
        <v>20715</v>
      </c>
      <c r="J7" s="23" t="s">
        <v>121</v>
      </c>
    </row>
    <row r="8" spans="1:10" ht="84" customHeight="1" x14ac:dyDescent="0.2">
      <c r="A8" s="2">
        <v>7</v>
      </c>
      <c r="B8" s="15" t="s">
        <v>131</v>
      </c>
      <c r="C8" s="15" t="s">
        <v>132</v>
      </c>
      <c r="D8" s="15" t="s">
        <v>133</v>
      </c>
      <c r="E8" s="2">
        <f>120+150+90</f>
        <v>360</v>
      </c>
      <c r="F8" s="2">
        <f>120+150+90</f>
        <v>360</v>
      </c>
      <c r="G8" s="2">
        <f>120+150+90</f>
        <v>360</v>
      </c>
      <c r="H8" s="2">
        <f>120+150+90</f>
        <v>360</v>
      </c>
      <c r="I8" s="2">
        <f>SUM(E8:H8)</f>
        <v>1440</v>
      </c>
      <c r="J8" s="15" t="s">
        <v>134</v>
      </c>
    </row>
    <row r="9" spans="1:10" ht="84" customHeight="1" x14ac:dyDescent="0.2">
      <c r="A9" s="2">
        <v>8</v>
      </c>
      <c r="B9" s="15" t="s">
        <v>78</v>
      </c>
      <c r="C9" s="15" t="s">
        <v>135</v>
      </c>
      <c r="D9" s="15" t="s">
        <v>80</v>
      </c>
      <c r="E9" s="2">
        <f>34+10+50</f>
        <v>94</v>
      </c>
      <c r="F9" s="2">
        <f>25+10+58</f>
        <v>93</v>
      </c>
      <c r="G9" s="2">
        <f>29+5+50</f>
        <v>84</v>
      </c>
      <c r="H9" s="2">
        <f>32+5+50</f>
        <v>87</v>
      </c>
      <c r="I9" s="2">
        <f>SUM(E9:H9)</f>
        <v>358</v>
      </c>
      <c r="J9" s="15" t="s">
        <v>136</v>
      </c>
    </row>
    <row r="10" spans="1:10" ht="84" customHeight="1" x14ac:dyDescent="0.2">
      <c r="A10" s="2">
        <v>9</v>
      </c>
      <c r="B10" s="15" t="s">
        <v>137</v>
      </c>
      <c r="C10" s="15" t="s">
        <v>138</v>
      </c>
      <c r="D10" s="15" t="s">
        <v>139</v>
      </c>
      <c r="E10" s="2">
        <v>260</v>
      </c>
      <c r="F10" s="2">
        <v>260</v>
      </c>
      <c r="G10" s="2">
        <v>260</v>
      </c>
      <c r="H10" s="2">
        <v>260</v>
      </c>
      <c r="I10" s="2">
        <f>SUM(E10:H10)</f>
        <v>1040</v>
      </c>
      <c r="J10" s="15" t="s">
        <v>140</v>
      </c>
    </row>
    <row r="11" spans="1:10" ht="84" customHeight="1" x14ac:dyDescent="0.2">
      <c r="A11" s="2">
        <v>10</v>
      </c>
      <c r="B11" s="15" t="s">
        <v>141</v>
      </c>
      <c r="C11" s="15" t="s">
        <v>142</v>
      </c>
      <c r="D11" s="15" t="s">
        <v>111</v>
      </c>
      <c r="E11" s="2">
        <v>198</v>
      </c>
      <c r="F11" s="2">
        <v>198</v>
      </c>
      <c r="G11" s="2">
        <v>198</v>
      </c>
      <c r="H11" s="2">
        <v>198</v>
      </c>
      <c r="I11" s="2">
        <f>SUM(E11:H11)</f>
        <v>792</v>
      </c>
      <c r="J11" s="15" t="s">
        <v>143</v>
      </c>
    </row>
    <row r="12" spans="1:10" ht="84" customHeight="1" x14ac:dyDescent="0.2">
      <c r="A12" s="2">
        <v>11</v>
      </c>
      <c r="B12" s="15" t="s">
        <v>141</v>
      </c>
      <c r="C12" s="15" t="s">
        <v>144</v>
      </c>
      <c r="D12" s="15" t="s">
        <v>83</v>
      </c>
      <c r="E12" s="2">
        <v>226</v>
      </c>
      <c r="F12" s="2">
        <v>223</v>
      </c>
      <c r="G12" s="2">
        <v>226</v>
      </c>
      <c r="H12" s="2">
        <v>223</v>
      </c>
      <c r="I12" s="2">
        <f>SUM(E12:H12)</f>
        <v>898</v>
      </c>
      <c r="J12" s="15" t="s">
        <v>145</v>
      </c>
    </row>
    <row r="13" spans="1:10" ht="99.75" x14ac:dyDescent="0.2">
      <c r="A13" s="2">
        <v>11</v>
      </c>
      <c r="B13" s="15" t="s">
        <v>146</v>
      </c>
      <c r="C13" s="15" t="s">
        <v>147</v>
      </c>
      <c r="D13" s="15" t="s">
        <v>148</v>
      </c>
      <c r="E13" s="2">
        <v>260</v>
      </c>
      <c r="F13" s="2">
        <v>260</v>
      </c>
      <c r="G13" s="2">
        <v>260</v>
      </c>
      <c r="H13" s="2">
        <v>260</v>
      </c>
      <c r="I13" s="2">
        <f>SUM(E13:H13)</f>
        <v>1040</v>
      </c>
      <c r="J13" s="15" t="s">
        <v>149</v>
      </c>
    </row>
    <row r="14" spans="1:10" ht="71.25" x14ac:dyDescent="0.2">
      <c r="A14" s="2">
        <v>12</v>
      </c>
      <c r="B14" s="15" t="s">
        <v>150</v>
      </c>
      <c r="C14" s="15" t="s">
        <v>151</v>
      </c>
      <c r="D14" s="15" t="s">
        <v>90</v>
      </c>
      <c r="E14" s="2">
        <v>39</v>
      </c>
      <c r="F14" s="2">
        <v>39</v>
      </c>
      <c r="G14" s="2">
        <v>39</v>
      </c>
      <c r="H14" s="2">
        <v>39</v>
      </c>
      <c r="I14" s="2">
        <f>SUM(E14:H14)</f>
        <v>156</v>
      </c>
      <c r="J14" s="15" t="s">
        <v>152</v>
      </c>
    </row>
    <row r="15" spans="1:10" ht="128.25" x14ac:dyDescent="0.2">
      <c r="A15" s="2">
        <v>13</v>
      </c>
      <c r="B15" s="15" t="s">
        <v>150</v>
      </c>
      <c r="C15" s="15" t="s">
        <v>153</v>
      </c>
      <c r="D15" s="15" t="s">
        <v>154</v>
      </c>
      <c r="E15" s="2">
        <v>132</v>
      </c>
      <c r="F15" s="2">
        <v>132</v>
      </c>
      <c r="G15" s="2">
        <v>132</v>
      </c>
      <c r="H15" s="2">
        <v>132</v>
      </c>
      <c r="I15" s="2">
        <f>SUM(E15:H15)</f>
        <v>528</v>
      </c>
      <c r="J15" s="15" t="s">
        <v>140</v>
      </c>
    </row>
    <row r="16" spans="1:10" ht="128.25" x14ac:dyDescent="0.2">
      <c r="A16" s="2">
        <v>14</v>
      </c>
      <c r="B16" s="15" t="s">
        <v>155</v>
      </c>
      <c r="C16" s="15" t="s">
        <v>156</v>
      </c>
      <c r="D16" s="15" t="s">
        <v>64</v>
      </c>
      <c r="E16" s="2">
        <v>130</v>
      </c>
      <c r="F16" s="2">
        <v>130</v>
      </c>
      <c r="G16" s="2">
        <v>130</v>
      </c>
      <c r="H16" s="2">
        <v>110</v>
      </c>
      <c r="I16" s="2">
        <f>SUM(E16:H16)</f>
        <v>500</v>
      </c>
      <c r="J16" s="15" t="s">
        <v>157</v>
      </c>
    </row>
    <row r="17" spans="1:10" ht="114" x14ac:dyDescent="0.2">
      <c r="A17" s="2">
        <v>15</v>
      </c>
      <c r="B17" s="15" t="s">
        <v>17</v>
      </c>
      <c r="C17" s="15" t="s">
        <v>158</v>
      </c>
      <c r="D17" s="15" t="s">
        <v>25</v>
      </c>
      <c r="E17" s="2">
        <v>577</v>
      </c>
      <c r="F17" s="2">
        <v>567</v>
      </c>
      <c r="G17" s="2">
        <v>568</v>
      </c>
      <c r="H17" s="2">
        <v>548</v>
      </c>
      <c r="I17" s="2">
        <f>SUM(E17:H17)</f>
        <v>2260</v>
      </c>
      <c r="J17" s="15" t="s">
        <v>140</v>
      </c>
    </row>
    <row r="18" spans="1:10" ht="156.75" x14ac:dyDescent="0.2">
      <c r="A18" s="2">
        <v>16</v>
      </c>
      <c r="B18" s="15" t="s">
        <v>159</v>
      </c>
      <c r="C18" s="15" t="s">
        <v>160</v>
      </c>
      <c r="D18" s="15" t="s">
        <v>161</v>
      </c>
      <c r="E18" s="2">
        <v>0</v>
      </c>
      <c r="F18" s="2">
        <v>70</v>
      </c>
      <c r="G18" s="2">
        <v>75</v>
      </c>
      <c r="H18" s="2">
        <v>0</v>
      </c>
      <c r="I18" s="2">
        <f>SUM(E18:H18)</f>
        <v>145</v>
      </c>
      <c r="J18" s="15" t="s">
        <v>162</v>
      </c>
    </row>
    <row r="19" spans="1:10" ht="85.5" x14ac:dyDescent="0.2">
      <c r="A19" s="2">
        <v>17</v>
      </c>
      <c r="B19" s="15" t="s">
        <v>50</v>
      </c>
      <c r="C19" s="15" t="s">
        <v>163</v>
      </c>
      <c r="D19" s="15" t="s">
        <v>52</v>
      </c>
      <c r="E19" s="2">
        <v>0</v>
      </c>
      <c r="F19" s="2">
        <v>0</v>
      </c>
      <c r="G19" s="2">
        <v>6</v>
      </c>
      <c r="H19" s="2">
        <v>0</v>
      </c>
      <c r="I19" s="2">
        <f>SUM(E19:H19)</f>
        <v>6</v>
      </c>
      <c r="J19" s="15" t="s">
        <v>112</v>
      </c>
    </row>
    <row r="20" spans="1:10" ht="128.25" x14ac:dyDescent="0.2">
      <c r="A20" s="2">
        <v>18</v>
      </c>
      <c r="B20" s="15" t="s">
        <v>50</v>
      </c>
      <c r="C20" s="15" t="s">
        <v>164</v>
      </c>
      <c r="D20" s="15" t="s">
        <v>165</v>
      </c>
      <c r="E20" s="2">
        <v>306</v>
      </c>
      <c r="F20" s="2">
        <v>0</v>
      </c>
      <c r="G20" s="2">
        <v>0</v>
      </c>
      <c r="H20" s="2">
        <v>0</v>
      </c>
      <c r="I20" s="2">
        <f>SUM(E20:H20)</f>
        <v>306</v>
      </c>
      <c r="J20" s="15" t="s">
        <v>166</v>
      </c>
    </row>
    <row r="21" spans="1:10" ht="85.5" x14ac:dyDescent="0.2">
      <c r="A21" s="2">
        <v>19</v>
      </c>
      <c r="B21" s="15" t="s">
        <v>50</v>
      </c>
      <c r="C21" s="15" t="s">
        <v>164</v>
      </c>
      <c r="D21" s="15" t="s">
        <v>167</v>
      </c>
      <c r="E21" s="2">
        <v>138</v>
      </c>
      <c r="F21" s="2">
        <v>241</v>
      </c>
      <c r="G21" s="2">
        <v>90</v>
      </c>
      <c r="H21" s="2">
        <v>0</v>
      </c>
      <c r="I21" s="2">
        <f>SUM(E21:H21)</f>
        <v>469</v>
      </c>
      <c r="J21" s="15" t="s">
        <v>166</v>
      </c>
    </row>
    <row r="22" spans="1:10" ht="128.25" x14ac:dyDescent="0.2">
      <c r="A22" s="2">
        <v>20</v>
      </c>
      <c r="B22" s="15" t="s">
        <v>50</v>
      </c>
      <c r="C22" s="15" t="s">
        <v>164</v>
      </c>
      <c r="D22" s="15" t="s">
        <v>168</v>
      </c>
      <c r="E22" s="2">
        <v>94</v>
      </c>
      <c r="F22" s="2">
        <v>0</v>
      </c>
      <c r="G22" s="2">
        <v>0</v>
      </c>
      <c r="H22" s="2">
        <v>0</v>
      </c>
      <c r="I22" s="2">
        <f>SUM(E22:H22)</f>
        <v>94</v>
      </c>
      <c r="J22" s="15" t="s">
        <v>169</v>
      </c>
    </row>
    <row r="23" spans="1:10" ht="57" x14ac:dyDescent="0.2">
      <c r="A23" s="2">
        <v>21</v>
      </c>
      <c r="B23" s="15" t="s">
        <v>50</v>
      </c>
      <c r="C23" s="15" t="s">
        <v>170</v>
      </c>
      <c r="D23" s="15" t="s">
        <v>171</v>
      </c>
      <c r="E23" s="2">
        <v>0</v>
      </c>
      <c r="F23" s="2">
        <v>39</v>
      </c>
      <c r="G23" s="2">
        <v>37</v>
      </c>
      <c r="H23" s="2">
        <v>26</v>
      </c>
      <c r="I23" s="2">
        <f>SUM(E23:H23)</f>
        <v>102</v>
      </c>
      <c r="J23" s="15" t="s">
        <v>172</v>
      </c>
    </row>
    <row r="24" spans="1:10" ht="57" x14ac:dyDescent="0.2">
      <c r="A24" s="2">
        <v>22</v>
      </c>
      <c r="B24" s="15" t="s">
        <v>50</v>
      </c>
      <c r="C24" s="15" t="s">
        <v>170</v>
      </c>
      <c r="D24" s="15" t="s">
        <v>173</v>
      </c>
      <c r="E24" s="2">
        <v>0</v>
      </c>
      <c r="F24" s="2">
        <v>16</v>
      </c>
      <c r="G24" s="2">
        <v>14</v>
      </c>
      <c r="H24" s="2">
        <v>5</v>
      </c>
      <c r="I24" s="2">
        <f>SUM(E24:H24)</f>
        <v>35</v>
      </c>
      <c r="J24" s="15" t="s">
        <v>174</v>
      </c>
    </row>
    <row r="25" spans="1:10" ht="57" x14ac:dyDescent="0.2">
      <c r="A25" s="2">
        <v>23</v>
      </c>
      <c r="B25" s="15" t="s">
        <v>50</v>
      </c>
      <c r="C25" s="15" t="s">
        <v>170</v>
      </c>
      <c r="D25" s="15" t="s">
        <v>175</v>
      </c>
      <c r="E25" s="2">
        <v>0</v>
      </c>
      <c r="F25" s="2">
        <v>31</v>
      </c>
      <c r="G25" s="2">
        <v>34</v>
      </c>
      <c r="H25" s="2">
        <v>20</v>
      </c>
      <c r="I25" s="2">
        <f>SUM(E25:H25)</f>
        <v>85</v>
      </c>
      <c r="J25" s="15" t="s">
        <v>176</v>
      </c>
    </row>
    <row r="26" spans="1:10" ht="57" x14ac:dyDescent="0.2">
      <c r="A26" s="2">
        <v>24</v>
      </c>
      <c r="B26" s="15" t="s">
        <v>50</v>
      </c>
      <c r="C26" s="15" t="s">
        <v>177</v>
      </c>
      <c r="D26" s="15" t="s">
        <v>60</v>
      </c>
      <c r="E26" s="2">
        <v>0</v>
      </c>
      <c r="F26" s="2">
        <v>10</v>
      </c>
      <c r="G26" s="2">
        <v>21</v>
      </c>
      <c r="H26" s="2">
        <v>20</v>
      </c>
      <c r="I26" s="2">
        <f>SUM(E26:H26)</f>
        <v>51</v>
      </c>
      <c r="J26" s="15" t="s">
        <v>178</v>
      </c>
    </row>
    <row r="27" spans="1:10" ht="57" x14ac:dyDescent="0.2">
      <c r="A27" s="2">
        <v>25</v>
      </c>
      <c r="B27" s="15" t="s">
        <v>50</v>
      </c>
      <c r="C27" s="15" t="s">
        <v>179</v>
      </c>
      <c r="D27" s="15" t="s">
        <v>180</v>
      </c>
      <c r="E27" s="2">
        <v>0</v>
      </c>
      <c r="F27" s="2">
        <v>32</v>
      </c>
      <c r="G27" s="2">
        <v>32</v>
      </c>
      <c r="H27" s="2">
        <v>36</v>
      </c>
      <c r="I27" s="2">
        <f>SUM(E27:H27)</f>
        <v>100</v>
      </c>
      <c r="J27" s="15" t="s">
        <v>181</v>
      </c>
    </row>
    <row r="28" spans="1:10" ht="57" x14ac:dyDescent="0.2">
      <c r="A28" s="2">
        <v>27</v>
      </c>
      <c r="B28" s="15" t="s">
        <v>131</v>
      </c>
      <c r="C28" s="15" t="s">
        <v>182</v>
      </c>
      <c r="D28" s="15" t="s">
        <v>99</v>
      </c>
      <c r="E28" s="2">
        <f>88+350</f>
        <v>438</v>
      </c>
      <c r="F28" s="2">
        <f>87+350</f>
        <v>437</v>
      </c>
      <c r="G28" s="2">
        <f>88+350</f>
        <v>438</v>
      </c>
      <c r="H28" s="2">
        <f>87+350</f>
        <v>437</v>
      </c>
      <c r="I28" s="2">
        <f>SUM(E28:H28)</f>
        <v>1750</v>
      </c>
      <c r="J28" s="15" t="s">
        <v>183</v>
      </c>
    </row>
    <row r="29" spans="1:10" ht="85.5" x14ac:dyDescent="0.2">
      <c r="A29" s="2">
        <v>34</v>
      </c>
      <c r="B29" s="15" t="s">
        <v>17</v>
      </c>
      <c r="C29" s="15" t="s">
        <v>184</v>
      </c>
      <c r="D29" s="15" t="s">
        <v>19</v>
      </c>
      <c r="E29" s="2">
        <v>18</v>
      </c>
      <c r="F29" s="2">
        <v>500</v>
      </c>
      <c r="G29" s="2">
        <v>500</v>
      </c>
      <c r="H29" s="2">
        <v>119</v>
      </c>
      <c r="I29" s="2">
        <f>SUM(E29:H29)</f>
        <v>1137</v>
      </c>
      <c r="J29" s="15" t="s">
        <v>185</v>
      </c>
    </row>
    <row r="30" spans="1:10" ht="85.5" x14ac:dyDescent="0.2">
      <c r="A30" s="2">
        <v>35</v>
      </c>
      <c r="B30" s="15" t="s">
        <v>17</v>
      </c>
      <c r="C30" s="15" t="s">
        <v>186</v>
      </c>
      <c r="D30" s="15" t="s">
        <v>27</v>
      </c>
      <c r="E30" s="2">
        <v>9</v>
      </c>
      <c r="F30" s="2">
        <v>9</v>
      </c>
      <c r="G30" s="2">
        <v>10</v>
      </c>
      <c r="H30" s="2">
        <v>10</v>
      </c>
      <c r="I30" s="2">
        <f>SUM(E30:H30)</f>
        <v>38</v>
      </c>
      <c r="J30" s="15" t="s">
        <v>185</v>
      </c>
    </row>
    <row r="31" spans="1:10" ht="57" x14ac:dyDescent="0.2">
      <c r="A31" s="2">
        <v>37</v>
      </c>
      <c r="B31" s="15" t="s">
        <v>17</v>
      </c>
      <c r="C31" s="15" t="s">
        <v>187</v>
      </c>
      <c r="D31" s="15" t="s">
        <v>15</v>
      </c>
      <c r="E31" s="2">
        <v>0</v>
      </c>
      <c r="F31" s="2">
        <v>0</v>
      </c>
      <c r="G31" s="2">
        <v>235</v>
      </c>
      <c r="H31" s="2">
        <v>235</v>
      </c>
      <c r="I31" s="2">
        <f>SUM(E31:H31)</f>
        <v>470</v>
      </c>
      <c r="J31" s="15" t="s">
        <v>185</v>
      </c>
    </row>
    <row r="32" spans="1:10" ht="71.25" x14ac:dyDescent="0.2">
      <c r="A32" s="2">
        <v>38</v>
      </c>
      <c r="B32" s="15" t="s">
        <v>17</v>
      </c>
      <c r="C32" s="15" t="s">
        <v>188</v>
      </c>
      <c r="D32" s="15" t="s">
        <v>23</v>
      </c>
      <c r="E32" s="2">
        <v>451</v>
      </c>
      <c r="F32" s="2">
        <v>450</v>
      </c>
      <c r="G32" s="2">
        <v>450</v>
      </c>
      <c r="H32" s="2">
        <v>451</v>
      </c>
      <c r="I32" s="2">
        <f>SUM(E32:H32)</f>
        <v>1802</v>
      </c>
      <c r="J32" s="15" t="s">
        <v>185</v>
      </c>
    </row>
    <row r="33" spans="1:10" ht="57" x14ac:dyDescent="0.2">
      <c r="A33" s="2">
        <v>39</v>
      </c>
      <c r="B33" s="15" t="s">
        <v>28</v>
      </c>
      <c r="C33" s="15" t="s">
        <v>189</v>
      </c>
      <c r="D33" s="15" t="s">
        <v>30</v>
      </c>
      <c r="E33" s="2">
        <v>0</v>
      </c>
      <c r="F33" s="2">
        <v>0</v>
      </c>
      <c r="G33" s="2">
        <v>0</v>
      </c>
      <c r="H33" s="2">
        <v>0</v>
      </c>
      <c r="I33" s="2">
        <f>SUM(E33:H33)</f>
        <v>0</v>
      </c>
      <c r="J33" s="15" t="s">
        <v>185</v>
      </c>
    </row>
    <row r="34" spans="1:10" ht="42.75" x14ac:dyDescent="0.2">
      <c r="A34" s="2">
        <v>40</v>
      </c>
      <c r="B34" s="15" t="s">
        <v>28</v>
      </c>
      <c r="C34" s="15" t="s">
        <v>190</v>
      </c>
      <c r="D34" s="15" t="s">
        <v>31</v>
      </c>
      <c r="E34" s="2">
        <v>15</v>
      </c>
      <c r="F34" s="2">
        <v>15</v>
      </c>
      <c r="G34" s="2">
        <v>15</v>
      </c>
      <c r="H34" s="2">
        <v>15</v>
      </c>
      <c r="I34" s="2">
        <f>SUM(E34:H34)</f>
        <v>60</v>
      </c>
      <c r="J34" s="15" t="s">
        <v>185</v>
      </c>
    </row>
    <row r="35" spans="1:10" ht="42.75" x14ac:dyDescent="0.2">
      <c r="A35" s="2">
        <v>41</v>
      </c>
      <c r="B35" s="15" t="s">
        <v>28</v>
      </c>
      <c r="C35" s="15" t="s">
        <v>190</v>
      </c>
      <c r="D35" s="15" t="s">
        <v>33</v>
      </c>
      <c r="E35" s="2">
        <v>0</v>
      </c>
      <c r="F35" s="2">
        <v>0</v>
      </c>
      <c r="G35" s="2">
        <v>10</v>
      </c>
      <c r="H35" s="2">
        <v>0</v>
      </c>
      <c r="I35" s="2">
        <f>SUM(E35:H35)</f>
        <v>10</v>
      </c>
      <c r="J35" s="15" t="s">
        <v>191</v>
      </c>
    </row>
    <row r="36" spans="1:10" ht="42.75" x14ac:dyDescent="0.2">
      <c r="A36" s="2">
        <v>43</v>
      </c>
      <c r="B36" s="15" t="s">
        <v>192</v>
      </c>
      <c r="C36" s="15" t="s">
        <v>193</v>
      </c>
      <c r="D36" s="15" t="s">
        <v>52</v>
      </c>
      <c r="E36" s="2">
        <v>0</v>
      </c>
      <c r="F36" s="2">
        <v>10</v>
      </c>
      <c r="G36" s="2">
        <v>60</v>
      </c>
      <c r="H36" s="2">
        <v>52</v>
      </c>
      <c r="I36" s="2">
        <f>SUM(E36:H36)</f>
        <v>122</v>
      </c>
      <c r="J36" s="15" t="s">
        <v>194</v>
      </c>
    </row>
    <row r="37" spans="1:10" ht="42.75" x14ac:dyDescent="0.2">
      <c r="A37" s="2">
        <v>49</v>
      </c>
      <c r="B37" s="15" t="s">
        <v>50</v>
      </c>
      <c r="C37" s="15" t="s">
        <v>170</v>
      </c>
      <c r="D37" s="15" t="s">
        <v>175</v>
      </c>
      <c r="E37" s="2"/>
      <c r="F37" s="2"/>
      <c r="G37" s="2"/>
      <c r="H37" s="2"/>
      <c r="I37" s="2">
        <f>SUM(E37:H37)</f>
        <v>0</v>
      </c>
      <c r="J37" s="15" t="s">
        <v>195</v>
      </c>
    </row>
    <row r="38" spans="1:10" ht="42.75" x14ac:dyDescent="0.2">
      <c r="A38" s="2"/>
      <c r="B38" s="15" t="s">
        <v>122</v>
      </c>
      <c r="C38" s="15" t="s">
        <v>123</v>
      </c>
      <c r="D38" s="15" t="s">
        <v>124</v>
      </c>
      <c r="E38" s="2">
        <v>300</v>
      </c>
      <c r="F38" s="2">
        <v>650</v>
      </c>
      <c r="G38" s="2">
        <v>650</v>
      </c>
      <c r="H38" s="2">
        <v>300</v>
      </c>
      <c r="I38" s="2">
        <f>SUM(E38:H38)</f>
        <v>1900</v>
      </c>
      <c r="J38" s="23" t="s">
        <v>125</v>
      </c>
    </row>
    <row r="39" spans="1:10" ht="42.75" x14ac:dyDescent="0.2">
      <c r="A39" s="2"/>
      <c r="B39" s="15" t="s">
        <v>122</v>
      </c>
      <c r="C39" s="15" t="s">
        <v>126</v>
      </c>
      <c r="D39" s="15" t="s">
        <v>127</v>
      </c>
      <c r="E39" s="2">
        <v>400</v>
      </c>
      <c r="F39" s="2">
        <v>400</v>
      </c>
      <c r="G39" s="2">
        <v>400</v>
      </c>
      <c r="H39" s="2">
        <v>400</v>
      </c>
      <c r="I39" s="2">
        <f>SUM(E39:H39)</f>
        <v>1600</v>
      </c>
      <c r="J39" s="23" t="s">
        <v>125</v>
      </c>
    </row>
    <row r="40" spans="1:10" ht="42.75" x14ac:dyDescent="0.2">
      <c r="A40" s="2"/>
      <c r="B40" s="15" t="s">
        <v>122</v>
      </c>
      <c r="C40" s="15" t="s">
        <v>126</v>
      </c>
      <c r="D40" s="15" t="s">
        <v>128</v>
      </c>
      <c r="E40" s="2">
        <v>375</v>
      </c>
      <c r="F40" s="2">
        <v>375</v>
      </c>
      <c r="G40" s="2">
        <v>375</v>
      </c>
      <c r="H40" s="2">
        <v>375</v>
      </c>
      <c r="I40" s="2">
        <f>SUM(E40:H40)</f>
        <v>1500</v>
      </c>
      <c r="J40" s="23" t="s">
        <v>125</v>
      </c>
    </row>
    <row r="41" spans="1:10" ht="57" x14ac:dyDescent="0.2">
      <c r="A41" s="2"/>
      <c r="B41" s="15" t="s">
        <v>122</v>
      </c>
      <c r="C41" s="15" t="s">
        <v>126</v>
      </c>
      <c r="D41" s="15" t="s">
        <v>129</v>
      </c>
      <c r="E41" s="2">
        <v>125</v>
      </c>
      <c r="F41" s="2">
        <v>125</v>
      </c>
      <c r="G41" s="2">
        <v>125</v>
      </c>
      <c r="H41" s="2">
        <v>125</v>
      </c>
      <c r="I41" s="2">
        <f>SUM(E41:H41)</f>
        <v>500</v>
      </c>
      <c r="J41" s="23" t="s">
        <v>125</v>
      </c>
    </row>
    <row r="42" spans="1:10" ht="57" x14ac:dyDescent="0.2">
      <c r="A42" s="2"/>
      <c r="B42" s="15" t="s">
        <v>122</v>
      </c>
      <c r="C42" s="15" t="s">
        <v>126</v>
      </c>
      <c r="D42" s="15" t="s">
        <v>130</v>
      </c>
      <c r="E42" s="2">
        <v>125</v>
      </c>
      <c r="F42" s="2">
        <v>125</v>
      </c>
      <c r="G42" s="2">
        <v>125</v>
      </c>
      <c r="H42" s="2">
        <v>125</v>
      </c>
      <c r="I42" s="2">
        <f>SUM(E42:H42)</f>
        <v>500</v>
      </c>
      <c r="J42" s="23" t="s">
        <v>125</v>
      </c>
    </row>
    <row r="43" spans="1:10" ht="71.25" x14ac:dyDescent="0.2">
      <c r="A43" s="33"/>
      <c r="B43" s="15" t="s">
        <v>50</v>
      </c>
      <c r="C43" s="15" t="s">
        <v>170</v>
      </c>
      <c r="D43" s="15" t="s">
        <v>175</v>
      </c>
      <c r="E43" s="2"/>
      <c r="F43" s="2"/>
      <c r="G43" s="2"/>
      <c r="H43" s="2"/>
      <c r="I43" s="2">
        <f>SUM(E43:H43)</f>
        <v>0</v>
      </c>
      <c r="J43" s="15" t="s">
        <v>199</v>
      </c>
    </row>
    <row r="44" spans="1:10" ht="57" x14ac:dyDescent="0.2">
      <c r="B44" s="15" t="s">
        <v>196</v>
      </c>
      <c r="C44" s="15" t="s">
        <v>197</v>
      </c>
      <c r="D44" s="15" t="s">
        <v>87</v>
      </c>
      <c r="E44" s="2">
        <v>80</v>
      </c>
      <c r="F44" s="2">
        <v>80</v>
      </c>
      <c r="G44" s="2">
        <v>130</v>
      </c>
      <c r="H44" s="2">
        <v>80</v>
      </c>
      <c r="I44" s="2">
        <f>SUM(E44:H44)</f>
        <v>370</v>
      </c>
      <c r="J44" s="15" t="s">
        <v>198</v>
      </c>
    </row>
    <row r="45" spans="1:10" ht="42.75" x14ac:dyDescent="0.2">
      <c r="B45" s="15" t="s">
        <v>200</v>
      </c>
      <c r="C45" s="15" t="s">
        <v>201</v>
      </c>
      <c r="D45" s="15" t="s">
        <v>202</v>
      </c>
      <c r="E45" s="2">
        <v>0</v>
      </c>
      <c r="F45" s="2">
        <v>0</v>
      </c>
      <c r="G45" s="2">
        <v>4</v>
      </c>
      <c r="H45" s="2">
        <v>3</v>
      </c>
      <c r="I45" s="2">
        <f>SUM(E45:H45)</f>
        <v>7</v>
      </c>
      <c r="J45" s="15" t="s">
        <v>203</v>
      </c>
    </row>
    <row r="46" spans="1:10" x14ac:dyDescent="0.2">
      <c r="B46" s="15"/>
      <c r="C46" s="15"/>
      <c r="D46" s="15"/>
      <c r="E46" s="2"/>
      <c r="F46" s="2"/>
      <c r="G46" s="2"/>
      <c r="H46" s="2"/>
      <c r="I46" s="2">
        <f>SUM(E46:H46)</f>
        <v>0</v>
      </c>
      <c r="J46" s="15"/>
    </row>
    <row r="47" spans="1:10" x14ac:dyDescent="0.2">
      <c r="B47" s="15"/>
      <c r="C47" s="15"/>
      <c r="D47" s="15"/>
      <c r="E47" s="2"/>
      <c r="F47" s="2"/>
      <c r="G47" s="2"/>
      <c r="H47" s="2"/>
      <c r="I47" s="2">
        <f>SUM(E47:H47)</f>
        <v>0</v>
      </c>
      <c r="J47" s="15"/>
    </row>
    <row r="48" spans="1:10" x14ac:dyDescent="0.2">
      <c r="B48" s="15"/>
      <c r="C48" s="15"/>
      <c r="D48" s="15"/>
      <c r="E48" s="2"/>
      <c r="F48" s="2"/>
      <c r="G48" s="2"/>
      <c r="H48" s="2"/>
      <c r="I48" s="2">
        <f>SUM(E48:H48)</f>
        <v>0</v>
      </c>
      <c r="J48" s="15"/>
    </row>
    <row r="49" spans="2:10" x14ac:dyDescent="0.2">
      <c r="B49" s="15"/>
      <c r="C49" s="15"/>
      <c r="D49" s="15"/>
      <c r="E49" s="2"/>
      <c r="F49" s="2"/>
      <c r="G49" s="2"/>
      <c r="H49" s="2"/>
      <c r="I49" s="2">
        <f>SUM(E49:H49)</f>
        <v>0</v>
      </c>
      <c r="J49" s="15"/>
    </row>
    <row r="50" spans="2:10" x14ac:dyDescent="0.2">
      <c r="B50" s="15"/>
      <c r="C50" s="15"/>
      <c r="D50" s="15"/>
      <c r="E50" s="2"/>
      <c r="F50" s="2"/>
      <c r="G50" s="2"/>
      <c r="H50" s="2"/>
      <c r="I50" s="2">
        <f>SUM(E50:H50)</f>
        <v>0</v>
      </c>
      <c r="J50" s="15"/>
    </row>
    <row r="51" spans="2:10" x14ac:dyDescent="0.2">
      <c r="B51" s="15"/>
      <c r="C51" s="15"/>
      <c r="D51" s="15"/>
      <c r="E51" s="2"/>
      <c r="F51" s="2"/>
      <c r="G51" s="2"/>
      <c r="H51" s="2"/>
      <c r="I51" s="2">
        <f>SUM(E51:H51)</f>
        <v>0</v>
      </c>
      <c r="J51" s="15"/>
    </row>
  </sheetData>
  <autoFilter ref="A6:J51" xr:uid="{62FDEFF2-210E-42DE-A94D-702D520BCAD4}">
    <sortState xmlns:xlrd2="http://schemas.microsoft.com/office/spreadsheetml/2017/richdata2" ref="A7:J51">
      <sortCondition ref="A6:A51"/>
    </sortState>
  </autoFilter>
  <mergeCells count="3">
    <mergeCell ref="E2:F2"/>
    <mergeCell ref="E3:F3"/>
    <mergeCell ref="E5:H5"/>
  </mergeCells>
  <dataValidations count="1">
    <dataValidation type="whole" allowBlank="1" showInputMessage="1" showErrorMessage="1" promptTitle="solo se permite número enteros" sqref="E7:H51" xr:uid="{9048776F-7CC9-411E-BAC8-E6875C3E7C5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B187FD43-D757-4C23-994F-6C7792E3029F}">
          <x14:formula1>
            <xm:f>Sheet4!$B$2:$B$223</xm:f>
          </x14:formula1>
          <xm:sqref>J7:J12 J34:J51</xm:sqref>
        </x14:dataValidation>
        <x14:dataValidation type="list" allowBlank="1" showInputMessage="1" showErrorMessage="1" xr:uid="{851543A3-F4C8-4878-BB20-31111F7EE6AC}">
          <x14:formula1>
            <xm:f>Sheet4!$B$3:$B$223</xm:f>
          </x14:formula1>
          <xm:sqref>J13:J33</xm:sqref>
        </x14:dataValidation>
        <x14:dataValidation type="list" allowBlank="1" showInputMessage="1" showErrorMessage="1" xr:uid="{5CE85053-5292-407D-B6E4-8E9519E1A1D8}">
          <x14:formula1>
            <xm:f>Sheet2!$A$2:$A$49</xm:f>
          </x14:formula1>
          <xm:sqref>B7:B49</xm:sqref>
        </x14:dataValidation>
        <x14:dataValidation type="list" allowBlank="1" showInputMessage="1" showErrorMessage="1" xr:uid="{D2B52015-DAAA-4473-AEBC-413D26B8ECF4}">
          <x14:formula1>
            <xm:f>Sheet3!$D$2:$D$154</xm:f>
          </x14:formula1>
          <xm:sqref>D7:D51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1450F-BB38-4F01-96BB-BF1C5F239E4C}">
  <sheetPr codeName="Sheet14">
    <tabColor theme="9"/>
  </sheetPr>
  <dimension ref="A1:K58"/>
  <sheetViews>
    <sheetView topLeftCell="C3" workbookViewId="0">
      <selection activeCell="B7" sqref="B7:J12"/>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1" width="39.75" style="5" customWidth="1"/>
    <col min="12" max="16384" width="9" style="5"/>
  </cols>
  <sheetData>
    <row r="1" spans="1:11" ht="15" thickBot="1" x14ac:dyDescent="0.25"/>
    <row r="2" spans="1:11" x14ac:dyDescent="0.2">
      <c r="D2" s="21" t="s">
        <v>0</v>
      </c>
      <c r="E2" s="31" t="s">
        <v>1</v>
      </c>
      <c r="F2" s="32"/>
    </row>
    <row r="3" spans="1:11" ht="15" thickBot="1" x14ac:dyDescent="0.25">
      <c r="D3" s="14" t="s">
        <v>2</v>
      </c>
      <c r="E3" s="29">
        <v>40000</v>
      </c>
      <c r="F3" s="30"/>
    </row>
    <row r="4" spans="1:11" ht="15" thickBot="1" x14ac:dyDescent="0.25"/>
    <row r="5" spans="1:11" ht="15" customHeight="1" thickBot="1" x14ac:dyDescent="0.25">
      <c r="E5" s="26" t="s">
        <v>3</v>
      </c>
      <c r="F5" s="27"/>
      <c r="G5" s="27"/>
      <c r="H5" s="28"/>
    </row>
    <row r="6" spans="1:11" ht="23.45" customHeight="1" x14ac:dyDescent="0.2">
      <c r="A6" s="6" t="s">
        <v>4</v>
      </c>
      <c r="B6" s="6" t="s">
        <v>5</v>
      </c>
      <c r="C6" s="9" t="s">
        <v>6</v>
      </c>
      <c r="D6" s="7" t="s">
        <v>7</v>
      </c>
      <c r="E6" s="3" t="s">
        <v>8</v>
      </c>
      <c r="F6" s="3" t="s">
        <v>9</v>
      </c>
      <c r="G6" s="10" t="s">
        <v>10</v>
      </c>
      <c r="H6" s="4" t="s">
        <v>11</v>
      </c>
      <c r="I6" s="11" t="s">
        <v>12</v>
      </c>
      <c r="J6" s="11" t="s">
        <v>13</v>
      </c>
    </row>
    <row r="7" spans="1:11" ht="85.5" x14ac:dyDescent="0.2">
      <c r="A7" s="2">
        <v>1</v>
      </c>
      <c r="B7" s="15" t="s">
        <v>204</v>
      </c>
      <c r="C7" s="15" t="s">
        <v>205</v>
      </c>
      <c r="D7" s="15" t="s">
        <v>84</v>
      </c>
      <c r="E7" s="2">
        <v>12000</v>
      </c>
      <c r="F7" s="2">
        <v>14006</v>
      </c>
      <c r="G7" s="2">
        <v>7996</v>
      </c>
      <c r="H7" s="2">
        <v>5998</v>
      </c>
      <c r="I7" s="2">
        <f>SUM(E7:H7)</f>
        <v>40000</v>
      </c>
      <c r="J7" s="15" t="s">
        <v>206</v>
      </c>
      <c r="K7" s="15"/>
    </row>
    <row r="8" spans="1:11" ht="85.5" x14ac:dyDescent="0.2">
      <c r="A8" s="2">
        <v>2</v>
      </c>
      <c r="B8" s="15" t="s">
        <v>204</v>
      </c>
      <c r="C8" s="15" t="s">
        <v>207</v>
      </c>
      <c r="D8" s="15" t="s">
        <v>208</v>
      </c>
      <c r="E8" s="2">
        <v>697</v>
      </c>
      <c r="F8" s="2">
        <v>820</v>
      </c>
      <c r="G8" s="2">
        <v>462</v>
      </c>
      <c r="H8" s="2">
        <v>347</v>
      </c>
      <c r="I8" s="2">
        <f t="shared" ref="I8:I58" si="0">SUM(E8:H8)</f>
        <v>2326</v>
      </c>
      <c r="J8" s="15" t="s">
        <v>206</v>
      </c>
    </row>
    <row r="9" spans="1:11" ht="69" customHeight="1" x14ac:dyDescent="0.2">
      <c r="A9" s="2">
        <v>3</v>
      </c>
      <c r="B9" s="15" t="s">
        <v>204</v>
      </c>
      <c r="C9" s="15" t="s">
        <v>207</v>
      </c>
      <c r="D9" s="15" t="s">
        <v>209</v>
      </c>
      <c r="E9" s="2">
        <v>399</v>
      </c>
      <c r="F9" s="2">
        <v>468</v>
      </c>
      <c r="G9" s="2">
        <v>263</v>
      </c>
      <c r="H9" s="2">
        <v>199</v>
      </c>
      <c r="I9" s="2">
        <f t="shared" si="0"/>
        <v>1329</v>
      </c>
      <c r="J9" s="15" t="s">
        <v>206</v>
      </c>
    </row>
    <row r="10" spans="1:11" ht="78" customHeight="1" x14ac:dyDescent="0.2">
      <c r="A10" s="2">
        <v>4</v>
      </c>
      <c r="B10" s="15" t="s">
        <v>204</v>
      </c>
      <c r="C10" s="15" t="s">
        <v>207</v>
      </c>
      <c r="D10" s="15" t="s">
        <v>210</v>
      </c>
      <c r="E10" s="2">
        <v>697</v>
      </c>
      <c r="F10" s="2">
        <v>820</v>
      </c>
      <c r="G10" s="2">
        <v>462</v>
      </c>
      <c r="H10" s="2">
        <v>347</v>
      </c>
      <c r="I10" s="2">
        <f t="shared" si="0"/>
        <v>2326</v>
      </c>
      <c r="J10" s="15" t="s">
        <v>206</v>
      </c>
    </row>
    <row r="11" spans="1:11" ht="85.5" x14ac:dyDescent="0.2">
      <c r="A11" s="2">
        <v>5</v>
      </c>
      <c r="B11" s="15" t="s">
        <v>118</v>
      </c>
      <c r="C11" s="15" t="s">
        <v>211</v>
      </c>
      <c r="D11" s="15" t="s">
        <v>120</v>
      </c>
      <c r="E11" s="2">
        <v>1407</v>
      </c>
      <c r="F11" s="2">
        <v>1645</v>
      </c>
      <c r="G11" s="2">
        <v>938</v>
      </c>
      <c r="H11" s="2">
        <v>693</v>
      </c>
      <c r="I11" s="2">
        <f t="shared" si="0"/>
        <v>4683</v>
      </c>
      <c r="J11" s="15" t="s">
        <v>206</v>
      </c>
      <c r="K11" s="18" t="s">
        <v>212</v>
      </c>
    </row>
    <row r="12" spans="1:11" ht="55.5" customHeight="1" x14ac:dyDescent="0.2">
      <c r="A12" s="2">
        <v>6</v>
      </c>
      <c r="B12" s="15" t="s">
        <v>131</v>
      </c>
      <c r="C12" s="15" t="s">
        <v>213</v>
      </c>
      <c r="D12" s="15" t="s">
        <v>99</v>
      </c>
      <c r="E12" s="2">
        <v>1455</v>
      </c>
      <c r="F12" s="2">
        <v>1698</v>
      </c>
      <c r="G12" s="2">
        <v>970</v>
      </c>
      <c r="H12" s="2">
        <v>727</v>
      </c>
      <c r="I12" s="2">
        <f t="shared" si="0"/>
        <v>4850</v>
      </c>
      <c r="J12" s="15" t="s">
        <v>206</v>
      </c>
    </row>
    <row r="13" spans="1:11" x14ac:dyDescent="0.2">
      <c r="A13" s="2"/>
      <c r="B13" s="15"/>
      <c r="C13" s="15"/>
      <c r="D13" s="15"/>
      <c r="E13" s="2"/>
      <c r="F13" s="2"/>
      <c r="G13" s="2"/>
      <c r="H13" s="2"/>
      <c r="I13" s="2">
        <f t="shared" si="0"/>
        <v>0</v>
      </c>
      <c r="J13" s="15"/>
    </row>
    <row r="14" spans="1:11" x14ac:dyDescent="0.2">
      <c r="A14" s="2"/>
      <c r="B14" s="15"/>
      <c r="C14" s="15"/>
      <c r="D14" s="15"/>
      <c r="E14" s="2"/>
      <c r="F14" s="2"/>
      <c r="G14" s="2"/>
      <c r="H14" s="2"/>
      <c r="I14" s="2">
        <f t="shared" si="0"/>
        <v>0</v>
      </c>
      <c r="J14" s="15"/>
    </row>
    <row r="15" spans="1:11" x14ac:dyDescent="0.2">
      <c r="A15" s="2"/>
      <c r="B15" s="15"/>
      <c r="C15" s="15"/>
      <c r="D15" s="15"/>
      <c r="E15" s="2"/>
      <c r="F15" s="2"/>
      <c r="G15" s="2"/>
      <c r="H15" s="2"/>
      <c r="I15" s="2">
        <f t="shared" si="0"/>
        <v>0</v>
      </c>
      <c r="J15" s="15"/>
    </row>
    <row r="16" spans="1:11" x14ac:dyDescent="0.2">
      <c r="A16" s="2"/>
      <c r="B16" s="15"/>
      <c r="C16" s="15"/>
      <c r="D16" s="15"/>
      <c r="E16" s="2"/>
      <c r="F16" s="2"/>
      <c r="G16" s="2"/>
      <c r="H16" s="2"/>
      <c r="I16" s="2">
        <f t="shared" si="0"/>
        <v>0</v>
      </c>
      <c r="J16" s="15"/>
    </row>
    <row r="17" spans="1:10" x14ac:dyDescent="0.2">
      <c r="A17" s="2"/>
      <c r="B17" s="15"/>
      <c r="C17" s="15"/>
      <c r="D17" s="15"/>
      <c r="E17" s="2"/>
      <c r="F17" s="2"/>
      <c r="G17" s="2"/>
      <c r="H17" s="2"/>
      <c r="I17" s="2">
        <f t="shared" si="0"/>
        <v>0</v>
      </c>
      <c r="J17" s="15"/>
    </row>
    <row r="18" spans="1:10" x14ac:dyDescent="0.2">
      <c r="A18" s="2"/>
      <c r="B18" s="15"/>
      <c r="C18" s="15"/>
      <c r="D18" s="15"/>
      <c r="E18" s="2"/>
      <c r="F18" s="2"/>
      <c r="G18" s="2"/>
      <c r="H18" s="2"/>
      <c r="I18" s="2">
        <f t="shared" si="0"/>
        <v>0</v>
      </c>
      <c r="J18" s="15"/>
    </row>
    <row r="19" spans="1:10" x14ac:dyDescent="0.2">
      <c r="A19" s="2"/>
      <c r="B19" s="15"/>
      <c r="C19" s="15"/>
      <c r="D19" s="15"/>
      <c r="E19" s="2"/>
      <c r="F19" s="2"/>
      <c r="G19" s="2"/>
      <c r="H19" s="2"/>
      <c r="I19" s="2">
        <f t="shared" si="0"/>
        <v>0</v>
      </c>
      <c r="J19" s="15"/>
    </row>
    <row r="20" spans="1:10" x14ac:dyDescent="0.2">
      <c r="A20" s="2"/>
      <c r="B20" s="15"/>
      <c r="C20" s="15"/>
      <c r="D20" s="15"/>
      <c r="E20" s="2"/>
      <c r="F20" s="2"/>
      <c r="G20" s="2"/>
      <c r="H20" s="2"/>
      <c r="I20" s="2">
        <f t="shared" si="0"/>
        <v>0</v>
      </c>
      <c r="J20" s="15"/>
    </row>
    <row r="21" spans="1:10" x14ac:dyDescent="0.2">
      <c r="A21" s="2"/>
      <c r="B21" s="15"/>
      <c r="C21" s="15"/>
      <c r="D21" s="15"/>
      <c r="E21" s="2"/>
      <c r="F21" s="2"/>
      <c r="G21" s="2"/>
      <c r="H21" s="2"/>
      <c r="I21" s="2">
        <f t="shared" si="0"/>
        <v>0</v>
      </c>
      <c r="J21" s="15"/>
    </row>
    <row r="22" spans="1:10" x14ac:dyDescent="0.2">
      <c r="A22" s="2"/>
      <c r="B22" s="15"/>
      <c r="C22" s="15"/>
      <c r="D22" s="15"/>
      <c r="E22" s="2"/>
      <c r="F22" s="2"/>
      <c r="G22" s="2"/>
      <c r="H22" s="2"/>
      <c r="I22" s="2">
        <f t="shared" si="0"/>
        <v>0</v>
      </c>
      <c r="J22" s="15"/>
    </row>
    <row r="23" spans="1:10" x14ac:dyDescent="0.2">
      <c r="A23" s="2"/>
      <c r="B23" s="15"/>
      <c r="C23" s="15"/>
      <c r="D23" s="15"/>
      <c r="E23" s="2"/>
      <c r="F23" s="2"/>
      <c r="G23" s="2"/>
      <c r="H23" s="2"/>
      <c r="I23" s="2">
        <f t="shared" si="0"/>
        <v>0</v>
      </c>
      <c r="J23" s="15"/>
    </row>
    <row r="24" spans="1:10" x14ac:dyDescent="0.2">
      <c r="A24" s="2"/>
      <c r="B24" s="15"/>
      <c r="C24" s="15"/>
      <c r="D24" s="15"/>
      <c r="E24" s="2"/>
      <c r="F24" s="2"/>
      <c r="G24" s="2"/>
      <c r="H24" s="2"/>
      <c r="I24" s="2">
        <f t="shared" si="0"/>
        <v>0</v>
      </c>
      <c r="J24" s="15"/>
    </row>
    <row r="25" spans="1:10" x14ac:dyDescent="0.2">
      <c r="A25" s="2"/>
      <c r="B25" s="15"/>
      <c r="C25" s="15"/>
      <c r="D25" s="15"/>
      <c r="E25" s="2"/>
      <c r="F25" s="2"/>
      <c r="G25" s="2"/>
      <c r="H25" s="2"/>
      <c r="I25" s="2">
        <f t="shared" si="0"/>
        <v>0</v>
      </c>
      <c r="J25" s="15"/>
    </row>
    <row r="26" spans="1:10" x14ac:dyDescent="0.2">
      <c r="A26" s="2"/>
      <c r="B26" s="15"/>
      <c r="C26" s="15"/>
      <c r="D26" s="15"/>
      <c r="E26" s="2"/>
      <c r="F26" s="2"/>
      <c r="G26" s="2"/>
      <c r="H26" s="2"/>
      <c r="I26" s="2">
        <f t="shared" si="0"/>
        <v>0</v>
      </c>
      <c r="J26" s="15"/>
    </row>
    <row r="27" spans="1:10" x14ac:dyDescent="0.2">
      <c r="A27" s="2"/>
      <c r="B27" s="15"/>
      <c r="C27" s="15"/>
      <c r="D27" s="15"/>
      <c r="E27" s="2"/>
      <c r="F27" s="2"/>
      <c r="G27" s="2"/>
      <c r="H27" s="2"/>
      <c r="I27" s="2">
        <f t="shared" si="0"/>
        <v>0</v>
      </c>
      <c r="J27" s="15"/>
    </row>
    <row r="28" spans="1:10" x14ac:dyDescent="0.2">
      <c r="A28" s="2"/>
      <c r="B28" s="15"/>
      <c r="C28" s="15"/>
      <c r="D28" s="15"/>
      <c r="E28" s="2"/>
      <c r="F28" s="2"/>
      <c r="G28" s="2"/>
      <c r="H28" s="2"/>
      <c r="I28" s="2">
        <f t="shared" si="0"/>
        <v>0</v>
      </c>
      <c r="J28" s="15"/>
    </row>
    <row r="29" spans="1:10" x14ac:dyDescent="0.2">
      <c r="A29" s="2"/>
      <c r="B29" s="15"/>
      <c r="C29" s="15"/>
      <c r="D29" s="15"/>
      <c r="E29" s="2"/>
      <c r="F29" s="2"/>
      <c r="G29" s="2"/>
      <c r="H29" s="2"/>
      <c r="I29" s="2">
        <f t="shared" si="0"/>
        <v>0</v>
      </c>
      <c r="J29" s="15"/>
    </row>
    <row r="30" spans="1:10" x14ac:dyDescent="0.2">
      <c r="A30" s="2"/>
      <c r="B30" s="15"/>
      <c r="C30" s="15"/>
      <c r="D30" s="15"/>
      <c r="E30" s="2"/>
      <c r="F30" s="2"/>
      <c r="G30" s="2"/>
      <c r="H30" s="2"/>
      <c r="I30" s="2">
        <f t="shared" si="0"/>
        <v>0</v>
      </c>
      <c r="J30" s="15"/>
    </row>
    <row r="31" spans="1:10" x14ac:dyDescent="0.2">
      <c r="A31" s="2"/>
      <c r="B31" s="15"/>
      <c r="C31" s="15"/>
      <c r="D31" s="15"/>
      <c r="E31" s="2"/>
      <c r="F31" s="2"/>
      <c r="G31" s="2"/>
      <c r="H31" s="2"/>
      <c r="I31" s="2">
        <f t="shared" si="0"/>
        <v>0</v>
      </c>
      <c r="J31" s="15"/>
    </row>
    <row r="32" spans="1:10" x14ac:dyDescent="0.2">
      <c r="A32" s="2"/>
      <c r="B32" s="15"/>
      <c r="C32" s="15"/>
      <c r="D32" s="15"/>
      <c r="E32" s="2"/>
      <c r="F32" s="2"/>
      <c r="G32" s="2"/>
      <c r="H32" s="2"/>
      <c r="I32" s="2">
        <f t="shared" si="0"/>
        <v>0</v>
      </c>
      <c r="J32" s="15"/>
    </row>
    <row r="33" spans="1:10" x14ac:dyDescent="0.2">
      <c r="A33" s="2"/>
      <c r="B33" s="15"/>
      <c r="C33" s="15"/>
      <c r="D33" s="15"/>
      <c r="E33" s="2"/>
      <c r="F33" s="2"/>
      <c r="G33" s="2"/>
      <c r="H33" s="2"/>
      <c r="I33" s="2">
        <f t="shared" si="0"/>
        <v>0</v>
      </c>
      <c r="J33" s="15"/>
    </row>
    <row r="34" spans="1:10" x14ac:dyDescent="0.2">
      <c r="A34" s="2"/>
      <c r="B34" s="15"/>
      <c r="C34" s="15"/>
      <c r="D34" s="15"/>
      <c r="E34" s="2"/>
      <c r="F34" s="2"/>
      <c r="G34" s="2"/>
      <c r="H34" s="2"/>
      <c r="I34" s="2">
        <f t="shared" si="0"/>
        <v>0</v>
      </c>
      <c r="J34" s="15"/>
    </row>
    <row r="35" spans="1:10" x14ac:dyDescent="0.2">
      <c r="A35" s="2"/>
      <c r="B35" s="15"/>
      <c r="C35" s="15"/>
      <c r="D35" s="15"/>
      <c r="E35" s="2"/>
      <c r="F35" s="2"/>
      <c r="G35" s="2"/>
      <c r="H35" s="2"/>
      <c r="I35" s="2">
        <f t="shared" si="0"/>
        <v>0</v>
      </c>
      <c r="J35" s="15"/>
    </row>
    <row r="36" spans="1:10" x14ac:dyDescent="0.2">
      <c r="A36" s="2"/>
      <c r="B36" s="15"/>
      <c r="C36" s="15"/>
      <c r="D36" s="15"/>
      <c r="E36" s="2"/>
      <c r="F36" s="2"/>
      <c r="G36" s="2"/>
      <c r="H36" s="2"/>
      <c r="I36" s="2">
        <f t="shared" si="0"/>
        <v>0</v>
      </c>
      <c r="J36" s="15"/>
    </row>
    <row r="37" spans="1:10" x14ac:dyDescent="0.2">
      <c r="A37" s="2"/>
      <c r="B37" s="15"/>
      <c r="C37" s="15"/>
      <c r="D37" s="15"/>
      <c r="E37" s="2"/>
      <c r="F37" s="2"/>
      <c r="G37" s="2"/>
      <c r="H37" s="2"/>
      <c r="I37" s="2">
        <f t="shared" si="0"/>
        <v>0</v>
      </c>
      <c r="J37" s="15"/>
    </row>
    <row r="38" spans="1:10" x14ac:dyDescent="0.2">
      <c r="A38" s="2"/>
      <c r="B38" s="15"/>
      <c r="C38" s="15"/>
      <c r="D38" s="15"/>
      <c r="E38" s="2"/>
      <c r="F38" s="2"/>
      <c r="G38" s="2"/>
      <c r="H38" s="2"/>
      <c r="I38" s="2">
        <f t="shared" si="0"/>
        <v>0</v>
      </c>
      <c r="J38" s="15"/>
    </row>
    <row r="39" spans="1:10" x14ac:dyDescent="0.2">
      <c r="A39" s="2"/>
      <c r="B39" s="15"/>
      <c r="C39" s="15"/>
      <c r="D39" s="15"/>
      <c r="E39" s="2"/>
      <c r="F39" s="2"/>
      <c r="G39" s="2"/>
      <c r="H39" s="2"/>
      <c r="I39" s="2">
        <f t="shared" si="0"/>
        <v>0</v>
      </c>
      <c r="J39" s="15"/>
    </row>
    <row r="40" spans="1:10" x14ac:dyDescent="0.2">
      <c r="A40" s="2"/>
      <c r="B40" s="15"/>
      <c r="C40" s="15"/>
      <c r="D40" s="15"/>
      <c r="E40" s="2"/>
      <c r="F40" s="2"/>
      <c r="G40" s="2"/>
      <c r="H40" s="2"/>
      <c r="I40" s="2">
        <f t="shared" si="0"/>
        <v>0</v>
      </c>
      <c r="J40" s="15"/>
    </row>
    <row r="41" spans="1:10" x14ac:dyDescent="0.2">
      <c r="A41" s="2"/>
      <c r="B41" s="15"/>
      <c r="C41" s="15"/>
      <c r="D41" s="15"/>
      <c r="E41" s="2"/>
      <c r="F41" s="2"/>
      <c r="G41" s="2"/>
      <c r="H41" s="2"/>
      <c r="I41" s="2">
        <f t="shared" si="0"/>
        <v>0</v>
      </c>
      <c r="J41" s="15"/>
    </row>
    <row r="42" spans="1:10" x14ac:dyDescent="0.2">
      <c r="A42" s="2"/>
      <c r="B42" s="15"/>
      <c r="C42" s="15"/>
      <c r="D42" s="15"/>
      <c r="E42" s="2"/>
      <c r="F42" s="2"/>
      <c r="G42" s="2"/>
      <c r="H42" s="2"/>
      <c r="I42" s="2">
        <f t="shared" si="0"/>
        <v>0</v>
      </c>
      <c r="J42" s="15"/>
    </row>
    <row r="43" spans="1:10" x14ac:dyDescent="0.2">
      <c r="A43" s="2"/>
      <c r="B43" s="15"/>
      <c r="C43" s="15"/>
      <c r="D43" s="15"/>
      <c r="E43" s="2"/>
      <c r="F43" s="2"/>
      <c r="G43" s="2"/>
      <c r="H43" s="2"/>
      <c r="I43" s="2">
        <f t="shared" si="0"/>
        <v>0</v>
      </c>
      <c r="J43" s="15"/>
    </row>
    <row r="44" spans="1:10" x14ac:dyDescent="0.2">
      <c r="A44" s="2"/>
      <c r="B44" s="15"/>
      <c r="C44" s="15"/>
      <c r="D44" s="15"/>
      <c r="E44" s="2"/>
      <c r="F44" s="2"/>
      <c r="G44" s="2"/>
      <c r="H44" s="2"/>
      <c r="I44" s="2">
        <f t="shared" si="0"/>
        <v>0</v>
      </c>
      <c r="J44" s="15"/>
    </row>
    <row r="45" spans="1:10" x14ac:dyDescent="0.2">
      <c r="A45" s="2"/>
      <c r="B45" s="15"/>
      <c r="C45" s="15"/>
      <c r="D45" s="15"/>
      <c r="E45" s="2"/>
      <c r="F45" s="2"/>
      <c r="G45" s="2"/>
      <c r="H45" s="2"/>
      <c r="I45" s="2">
        <f t="shared" si="0"/>
        <v>0</v>
      </c>
      <c r="J45" s="15"/>
    </row>
    <row r="46" spans="1:10" x14ac:dyDescent="0.2">
      <c r="A46" s="2"/>
      <c r="B46" s="15"/>
      <c r="C46" s="15"/>
      <c r="D46" s="15"/>
      <c r="E46" s="2"/>
      <c r="F46" s="2"/>
      <c r="G46" s="2"/>
      <c r="H46" s="2"/>
      <c r="I46" s="2">
        <f t="shared" si="0"/>
        <v>0</v>
      </c>
      <c r="J46" s="15"/>
    </row>
    <row r="47" spans="1:10" x14ac:dyDescent="0.2">
      <c r="A47" s="2"/>
      <c r="B47" s="15"/>
      <c r="C47" s="15"/>
      <c r="D47" s="15"/>
      <c r="E47" s="2"/>
      <c r="F47" s="2"/>
      <c r="G47" s="2"/>
      <c r="H47" s="2"/>
      <c r="I47" s="2">
        <f t="shared" si="0"/>
        <v>0</v>
      </c>
      <c r="J47" s="15"/>
    </row>
    <row r="48" spans="1:10" x14ac:dyDescent="0.2">
      <c r="A48" s="2"/>
      <c r="B48" s="15"/>
      <c r="C48" s="15"/>
      <c r="D48" s="15"/>
      <c r="E48" s="2"/>
      <c r="F48" s="2"/>
      <c r="G48" s="2"/>
      <c r="H48" s="2"/>
      <c r="I48" s="2">
        <f t="shared" si="0"/>
        <v>0</v>
      </c>
      <c r="J48" s="15"/>
    </row>
    <row r="49" spans="1:10" x14ac:dyDescent="0.2">
      <c r="A49" s="2"/>
      <c r="B49" s="15"/>
      <c r="C49" s="15"/>
      <c r="D49" s="15"/>
      <c r="E49" s="2"/>
      <c r="F49" s="2"/>
      <c r="G49" s="2"/>
      <c r="H49" s="2"/>
      <c r="I49" s="2">
        <f t="shared" si="0"/>
        <v>0</v>
      </c>
      <c r="J49" s="15"/>
    </row>
    <row r="50" spans="1:10" x14ac:dyDescent="0.2">
      <c r="A50" s="2"/>
      <c r="B50" s="15"/>
      <c r="C50" s="15"/>
      <c r="D50" s="15"/>
      <c r="E50" s="2"/>
      <c r="F50" s="2"/>
      <c r="G50" s="2"/>
      <c r="H50" s="2"/>
      <c r="I50" s="2">
        <f t="shared" si="0"/>
        <v>0</v>
      </c>
      <c r="J50" s="15"/>
    </row>
    <row r="51" spans="1:10" x14ac:dyDescent="0.2">
      <c r="A51" s="2"/>
      <c r="B51" s="15"/>
      <c r="C51" s="15"/>
      <c r="D51" s="15"/>
      <c r="E51" s="2"/>
      <c r="F51" s="2"/>
      <c r="G51" s="2"/>
      <c r="H51" s="2"/>
      <c r="I51" s="2">
        <f t="shared" si="0"/>
        <v>0</v>
      </c>
      <c r="J51" s="15"/>
    </row>
    <row r="52" spans="1:10" x14ac:dyDescent="0.2">
      <c r="A52" s="2"/>
      <c r="B52" s="15"/>
      <c r="C52" s="15"/>
      <c r="D52" s="15"/>
      <c r="E52" s="2"/>
      <c r="F52" s="2"/>
      <c r="G52" s="2"/>
      <c r="H52" s="2"/>
      <c r="I52" s="2">
        <f t="shared" si="0"/>
        <v>0</v>
      </c>
      <c r="J52" s="15"/>
    </row>
    <row r="53" spans="1:10" x14ac:dyDescent="0.2">
      <c r="A53" s="2">
        <v>45</v>
      </c>
      <c r="B53" s="15"/>
      <c r="C53" s="15"/>
      <c r="D53" s="15"/>
      <c r="E53" s="2"/>
      <c r="F53" s="2"/>
      <c r="G53" s="2"/>
      <c r="H53" s="2"/>
      <c r="I53" s="2">
        <f t="shared" si="0"/>
        <v>0</v>
      </c>
      <c r="J53" s="15"/>
    </row>
    <row r="54" spans="1:10" x14ac:dyDescent="0.2">
      <c r="A54" s="2">
        <v>46</v>
      </c>
      <c r="B54" s="15"/>
      <c r="C54" s="15"/>
      <c r="D54" s="15"/>
      <c r="E54" s="2"/>
      <c r="F54" s="2"/>
      <c r="G54" s="2"/>
      <c r="H54" s="2"/>
      <c r="I54" s="2">
        <f t="shared" si="0"/>
        <v>0</v>
      </c>
      <c r="J54" s="15"/>
    </row>
    <row r="55" spans="1:10" x14ac:dyDescent="0.2">
      <c r="A55" s="2">
        <v>47</v>
      </c>
      <c r="B55" s="15"/>
      <c r="C55" s="15"/>
      <c r="D55" s="15"/>
      <c r="E55" s="2"/>
      <c r="F55" s="2"/>
      <c r="G55" s="2"/>
      <c r="H55" s="2"/>
      <c r="I55" s="2">
        <f t="shared" si="0"/>
        <v>0</v>
      </c>
      <c r="J55" s="15"/>
    </row>
    <row r="56" spans="1:10" x14ac:dyDescent="0.2">
      <c r="A56" s="2">
        <v>48</v>
      </c>
      <c r="B56" s="15"/>
      <c r="C56" s="15"/>
      <c r="D56" s="15"/>
      <c r="E56" s="2"/>
      <c r="F56" s="2"/>
      <c r="G56" s="2"/>
      <c r="H56" s="2"/>
      <c r="I56" s="2">
        <f t="shared" si="0"/>
        <v>0</v>
      </c>
      <c r="J56" s="15"/>
    </row>
    <row r="57" spans="1:10" x14ac:dyDescent="0.2">
      <c r="A57" s="2">
        <v>49</v>
      </c>
      <c r="B57" s="15"/>
      <c r="C57" s="15"/>
      <c r="D57" s="15"/>
      <c r="E57" s="2"/>
      <c r="F57" s="2"/>
      <c r="G57" s="2"/>
      <c r="H57" s="2"/>
      <c r="I57" s="2">
        <f t="shared" si="0"/>
        <v>0</v>
      </c>
      <c r="J57" s="15"/>
    </row>
    <row r="58" spans="1:10" x14ac:dyDescent="0.2">
      <c r="A58" s="2">
        <v>50</v>
      </c>
      <c r="B58" s="15"/>
      <c r="C58" s="15"/>
      <c r="D58" s="15"/>
      <c r="E58" s="2"/>
      <c r="F58" s="2"/>
      <c r="G58" s="2"/>
      <c r="H58" s="2"/>
      <c r="I58" s="2">
        <f t="shared" si="0"/>
        <v>0</v>
      </c>
      <c r="J58" s="15"/>
    </row>
  </sheetData>
  <autoFilter ref="B6:J58" xr:uid="{5F01450F-BB38-4F01-96BB-BF1C5F239E4C}"/>
  <mergeCells count="3">
    <mergeCell ref="E2:F2"/>
    <mergeCell ref="E3:F3"/>
    <mergeCell ref="E5:H5"/>
  </mergeCells>
  <dataValidations count="1">
    <dataValidation type="whole" allowBlank="1" showInputMessage="1" showErrorMessage="1" promptTitle="solo se permite número enteros" sqref="E7:H58" xr:uid="{3E0203E7-AD8C-41DF-BBB4-89C8AC46171B}">
      <formula1>0</formula1>
      <formula2>1000000</formula2>
    </dataValidation>
  </dataValidations>
  <pageMargins left="0.7" right="0.7" top="0.75" bottom="0.75" header="0.3" footer="0.3"/>
  <pageSetup paperSize="9" orientation="portrait" verticalDpi="0" r:id="rId1"/>
  <customProperties>
    <customPr name="layoutContexts" r:id="rId2"/>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C317610-A03F-409C-804C-44A9F03FAD54}">
          <x14:formula1>
            <xm:f>Sheet3!$D$2:$D$154</xm:f>
          </x14:formula1>
          <xm:sqref>D7</xm:sqref>
        </x14:dataValidation>
        <x14:dataValidation type="list" allowBlank="1" showInputMessage="1" showErrorMessage="1" xr:uid="{AEA1F982-3803-49E3-8AD1-51295058F205}">
          <x14:formula1>
            <xm:f>Sheet2!#REF!</xm:f>
          </x14:formula1>
          <xm:sqref>D11 D13:D56</xm:sqref>
        </x14:dataValidation>
        <x14:dataValidation type="list" allowBlank="1" showInputMessage="1" showErrorMessage="1" xr:uid="{92C6F3B4-681F-4927-8BFB-5B2FF55286FC}">
          <x14:formula1>
            <xm:f>Sheet4!$B$3:$B$223</xm:f>
          </x14:formula1>
          <xm:sqref>J7 J13:J58</xm:sqref>
        </x14:dataValidation>
        <x14:dataValidation type="list" allowBlank="1" showInputMessage="1" showErrorMessage="1" xr:uid="{79986E6A-68DC-4658-939C-4F68B66FED4C}">
          <x14:formula1>
            <xm:f>Sheet2!$A$2:$A$49</xm:f>
          </x14:formula1>
          <xm:sqref>B7:B56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B30BB-8F98-4AFC-9218-F45F04A27656}">
  <sheetPr codeName="Sheet15">
    <tabColor rgb="FF92D050"/>
  </sheetPr>
  <dimension ref="A1:J56"/>
  <sheetViews>
    <sheetView zoomScale="70" zoomScaleNormal="70" workbookViewId="0">
      <selection activeCell="B7" sqref="B7:J9"/>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1" t="s">
        <v>0</v>
      </c>
      <c r="E2" s="31" t="s">
        <v>1</v>
      </c>
      <c r="F2" s="32"/>
    </row>
    <row r="3" spans="1:10" ht="15" thickBot="1" x14ac:dyDescent="0.25">
      <c r="D3" s="14" t="s">
        <v>2</v>
      </c>
      <c r="E3" s="29">
        <v>720</v>
      </c>
      <c r="F3" s="30"/>
    </row>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256.5" x14ac:dyDescent="0.2">
      <c r="A7" s="2">
        <v>1</v>
      </c>
      <c r="B7" s="15" t="s">
        <v>50</v>
      </c>
      <c r="C7" s="15" t="s">
        <v>214</v>
      </c>
      <c r="D7" s="15" t="s">
        <v>60</v>
      </c>
      <c r="E7" s="2">
        <v>40</v>
      </c>
      <c r="F7" s="2">
        <v>40</v>
      </c>
      <c r="G7" s="2">
        <v>40</v>
      </c>
      <c r="H7" s="2">
        <v>0</v>
      </c>
      <c r="I7" s="2">
        <f>SUM(E7:H7)</f>
        <v>120</v>
      </c>
      <c r="J7" s="15" t="s">
        <v>215</v>
      </c>
    </row>
    <row r="8" spans="1:10" ht="199.5" x14ac:dyDescent="0.2">
      <c r="A8" s="2">
        <v>2</v>
      </c>
      <c r="B8" s="15" t="s">
        <v>50</v>
      </c>
      <c r="C8" s="15" t="s">
        <v>216</v>
      </c>
      <c r="D8" s="15" t="s">
        <v>217</v>
      </c>
      <c r="E8" s="2">
        <v>151</v>
      </c>
      <c r="F8" s="2">
        <v>151</v>
      </c>
      <c r="G8" s="2">
        <v>151</v>
      </c>
      <c r="H8" s="2">
        <v>147</v>
      </c>
      <c r="I8" s="2">
        <f t="shared" ref="I8:I56" si="0">SUM(E8:H8)</f>
        <v>600</v>
      </c>
      <c r="J8" s="15" t="s">
        <v>215</v>
      </c>
    </row>
    <row r="9" spans="1:10" ht="214.5" customHeight="1" x14ac:dyDescent="0.2">
      <c r="A9" s="2">
        <v>3</v>
      </c>
      <c r="B9" s="15" t="s">
        <v>50</v>
      </c>
      <c r="C9" s="15" t="s">
        <v>218</v>
      </c>
      <c r="D9" s="15" t="s">
        <v>219</v>
      </c>
      <c r="E9" s="2">
        <v>0</v>
      </c>
      <c r="F9" s="2">
        <v>3</v>
      </c>
      <c r="G9" s="2">
        <v>0</v>
      </c>
      <c r="H9" s="2">
        <v>2</v>
      </c>
      <c r="I9" s="2">
        <f t="shared" si="0"/>
        <v>5</v>
      </c>
      <c r="J9" s="15" t="s">
        <v>215</v>
      </c>
    </row>
    <row r="10" spans="1:10" x14ac:dyDescent="0.2">
      <c r="A10" s="2">
        <v>4</v>
      </c>
      <c r="B10" s="15"/>
      <c r="C10" s="15"/>
      <c r="D10" s="15"/>
      <c r="E10" s="2"/>
      <c r="F10" s="2"/>
      <c r="G10" s="2"/>
      <c r="H10" s="2"/>
      <c r="I10" s="2">
        <f t="shared" si="0"/>
        <v>0</v>
      </c>
      <c r="J10" s="15"/>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dataValidations count="1">
    <dataValidation type="whole" allowBlank="1" showInputMessage="1" showErrorMessage="1" promptTitle="solo se permite número enteros" sqref="E7:H56" xr:uid="{535307A2-D9A6-4E34-94A8-88E33CF8F4D8}">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D81C876D-DE8A-4959-93A4-64B94A11F4D6}">
          <x14:formula1>
            <xm:f>Sheet2!$A$2:$A$49</xm:f>
          </x14:formula1>
          <xm:sqref>B7:B54</xm:sqref>
        </x14:dataValidation>
        <x14:dataValidation type="list" allowBlank="1" showInputMessage="1" showErrorMessage="1" xr:uid="{08791248-8A27-4D6E-875F-908AC8222B78}">
          <x14:formula1>
            <xm:f>Sheet4!$B$3:$B$223</xm:f>
          </x14:formula1>
          <xm:sqref>J7:J54</xm:sqref>
        </x14:dataValidation>
        <x14:dataValidation type="list" allowBlank="1" showInputMessage="1" showErrorMessage="1" xr:uid="{0EF51A45-D892-4209-A4D8-C5F3E9C82E52}">
          <x14:formula1>
            <xm:f>Sheet2!#REF!</xm:f>
          </x14:formula1>
          <xm:sqref>D9:D54</xm:sqref>
        </x14:dataValidation>
        <x14:dataValidation type="list" allowBlank="1" showInputMessage="1" showErrorMessage="1" xr:uid="{98791484-013E-4647-97EF-D5E3955657AF}">
          <x14:formula1>
            <xm:f>Sheet3!$D$2:$D$154</xm:f>
          </x14:formula1>
          <xm:sqref>D7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DD26-6E9F-4DCF-9F4E-E26EF549EAF9}">
  <sheetPr codeName="Sheet18">
    <tabColor rgb="FF92D050"/>
  </sheetPr>
  <dimension ref="A2:J62"/>
  <sheetViews>
    <sheetView topLeftCell="C16" workbookViewId="0">
      <selection activeCell="B7" sqref="B7:J23"/>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v>1910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2">
        <v>1</v>
      </c>
      <c r="B7" s="15" t="s">
        <v>78</v>
      </c>
      <c r="C7" s="15" t="s">
        <v>220</v>
      </c>
      <c r="D7" s="15" t="s">
        <v>80</v>
      </c>
      <c r="E7" s="2">
        <v>99</v>
      </c>
      <c r="F7" s="2">
        <v>101</v>
      </c>
      <c r="G7" s="2">
        <v>100</v>
      </c>
      <c r="H7" s="2">
        <v>100</v>
      </c>
      <c r="I7" s="2">
        <f t="shared" ref="I7:I38" si="0">SUM(E7:H7)</f>
        <v>400</v>
      </c>
      <c r="J7" s="15" t="s">
        <v>221</v>
      </c>
    </row>
    <row r="8" spans="1:10" ht="85.5" x14ac:dyDescent="0.2">
      <c r="A8" s="2">
        <v>2</v>
      </c>
      <c r="B8" s="15" t="s">
        <v>141</v>
      </c>
      <c r="C8" s="15" t="s">
        <v>222</v>
      </c>
      <c r="D8" s="15" t="s">
        <v>111</v>
      </c>
      <c r="E8" s="2">
        <v>0</v>
      </c>
      <c r="F8" s="2">
        <v>36</v>
      </c>
      <c r="G8" s="2">
        <v>32</v>
      </c>
      <c r="H8" s="2">
        <v>32</v>
      </c>
      <c r="I8" s="2">
        <f t="shared" si="0"/>
        <v>100</v>
      </c>
      <c r="J8" s="15" t="s">
        <v>223</v>
      </c>
    </row>
    <row r="9" spans="1:10" ht="57" x14ac:dyDescent="0.2">
      <c r="A9" s="2">
        <v>3</v>
      </c>
      <c r="B9" s="15" t="s">
        <v>50</v>
      </c>
      <c r="C9" s="15" t="s">
        <v>224</v>
      </c>
      <c r="D9" s="15" t="s">
        <v>217</v>
      </c>
      <c r="E9" s="2">
        <v>0</v>
      </c>
      <c r="F9" s="2">
        <v>10</v>
      </c>
      <c r="G9" s="2">
        <v>10</v>
      </c>
      <c r="H9" s="2">
        <v>10</v>
      </c>
      <c r="I9" s="2">
        <f t="shared" si="0"/>
        <v>30</v>
      </c>
      <c r="J9" s="15" t="s">
        <v>225</v>
      </c>
    </row>
    <row r="10" spans="1:10" ht="57" x14ac:dyDescent="0.2">
      <c r="A10" s="2">
        <v>4</v>
      </c>
      <c r="B10" s="15" t="s">
        <v>50</v>
      </c>
      <c r="C10" s="15" t="s">
        <v>226</v>
      </c>
      <c r="D10" s="15" t="s">
        <v>227</v>
      </c>
      <c r="E10" s="2">
        <v>0</v>
      </c>
      <c r="F10" s="2">
        <v>75</v>
      </c>
      <c r="G10" s="2">
        <v>0</v>
      </c>
      <c r="H10" s="2">
        <v>0</v>
      </c>
      <c r="I10" s="2">
        <f t="shared" si="0"/>
        <v>75</v>
      </c>
      <c r="J10" s="15" t="s">
        <v>228</v>
      </c>
    </row>
    <row r="11" spans="1:10" ht="57" x14ac:dyDescent="0.2">
      <c r="A11" s="2">
        <v>5</v>
      </c>
      <c r="B11" s="15" t="s">
        <v>50</v>
      </c>
      <c r="C11" s="15" t="s">
        <v>226</v>
      </c>
      <c r="D11" s="15" t="s">
        <v>229</v>
      </c>
      <c r="E11" s="2">
        <v>0</v>
      </c>
      <c r="F11" s="2">
        <v>75</v>
      </c>
      <c r="G11" s="2">
        <v>0</v>
      </c>
      <c r="H11" s="2">
        <v>0</v>
      </c>
      <c r="I11" s="2">
        <f t="shared" si="0"/>
        <v>75</v>
      </c>
      <c r="J11" s="15" t="s">
        <v>228</v>
      </c>
    </row>
    <row r="12" spans="1:10" ht="57" x14ac:dyDescent="0.2">
      <c r="A12" s="2">
        <v>6</v>
      </c>
      <c r="B12" s="15" t="s">
        <v>50</v>
      </c>
      <c r="C12" s="15" t="s">
        <v>226</v>
      </c>
      <c r="D12" s="15" t="s">
        <v>230</v>
      </c>
      <c r="E12" s="2">
        <v>0</v>
      </c>
      <c r="F12" s="2">
        <v>75</v>
      </c>
      <c r="G12" s="2">
        <v>0</v>
      </c>
      <c r="H12" s="2">
        <v>0</v>
      </c>
      <c r="I12" s="2">
        <f t="shared" si="0"/>
        <v>75</v>
      </c>
      <c r="J12" s="15" t="s">
        <v>228</v>
      </c>
    </row>
    <row r="13" spans="1:10" ht="114" x14ac:dyDescent="0.2">
      <c r="A13" s="2">
        <v>7</v>
      </c>
      <c r="B13" s="15" t="s">
        <v>50</v>
      </c>
      <c r="C13" s="15" t="s">
        <v>231</v>
      </c>
      <c r="D13" s="15" t="s">
        <v>171</v>
      </c>
      <c r="E13" s="2">
        <v>0</v>
      </c>
      <c r="F13" s="2">
        <v>40</v>
      </c>
      <c r="G13" s="2">
        <v>10</v>
      </c>
      <c r="H13" s="2">
        <v>0</v>
      </c>
      <c r="I13" s="2">
        <f>SUM(E13:H13)</f>
        <v>50</v>
      </c>
      <c r="J13" s="15" t="s">
        <v>228</v>
      </c>
    </row>
    <row r="14" spans="1:10" ht="114" x14ac:dyDescent="0.2">
      <c r="A14" s="2">
        <v>8</v>
      </c>
      <c r="B14" s="15" t="s">
        <v>50</v>
      </c>
      <c r="C14" s="15" t="s">
        <v>231</v>
      </c>
      <c r="D14" s="15" t="s">
        <v>175</v>
      </c>
      <c r="E14" s="2">
        <v>0</v>
      </c>
      <c r="F14" s="2">
        <v>40</v>
      </c>
      <c r="G14" s="2">
        <v>10</v>
      </c>
      <c r="H14" s="2">
        <v>0</v>
      </c>
      <c r="I14" s="2">
        <f>SUM(E14:H14)</f>
        <v>50</v>
      </c>
      <c r="J14" s="15" t="s">
        <v>228</v>
      </c>
    </row>
    <row r="15" spans="1:10" ht="114" x14ac:dyDescent="0.2">
      <c r="A15" s="2">
        <v>9</v>
      </c>
      <c r="B15" s="15" t="s">
        <v>50</v>
      </c>
      <c r="C15" s="15" t="s">
        <v>231</v>
      </c>
      <c r="D15" s="15" t="s">
        <v>173</v>
      </c>
      <c r="E15" s="2">
        <v>0</v>
      </c>
      <c r="F15" s="2">
        <v>80</v>
      </c>
      <c r="G15" s="2">
        <v>20</v>
      </c>
      <c r="H15" s="2">
        <v>0</v>
      </c>
      <c r="I15" s="2">
        <f t="shared" si="0"/>
        <v>100</v>
      </c>
      <c r="J15" s="15" t="s">
        <v>228</v>
      </c>
    </row>
    <row r="16" spans="1:10" ht="71.25" x14ac:dyDescent="0.2">
      <c r="A16" s="2">
        <v>10</v>
      </c>
      <c r="B16" s="15" t="s">
        <v>232</v>
      </c>
      <c r="C16" s="15" t="s">
        <v>233</v>
      </c>
      <c r="D16" s="15" t="s">
        <v>234</v>
      </c>
      <c r="E16" s="2">
        <v>10</v>
      </c>
      <c r="F16" s="2">
        <v>9</v>
      </c>
      <c r="G16" s="2">
        <v>0</v>
      </c>
      <c r="H16" s="2">
        <v>0</v>
      </c>
      <c r="I16" s="2">
        <f>SUM(E16:H16)</f>
        <v>19</v>
      </c>
      <c r="J16" s="15" t="s">
        <v>228</v>
      </c>
    </row>
    <row r="17" spans="1:10" ht="71.25" x14ac:dyDescent="0.2">
      <c r="A17" s="2">
        <v>11</v>
      </c>
      <c r="B17" s="15" t="s">
        <v>232</v>
      </c>
      <c r="C17" s="15" t="s">
        <v>233</v>
      </c>
      <c r="D17" s="15" t="s">
        <v>235</v>
      </c>
      <c r="E17" s="2">
        <v>10</v>
      </c>
      <c r="F17" s="2">
        <v>9</v>
      </c>
      <c r="G17" s="2">
        <v>0</v>
      </c>
      <c r="H17" s="2">
        <v>0</v>
      </c>
      <c r="I17" s="2">
        <f>SUM(E17:H17)</f>
        <v>19</v>
      </c>
      <c r="J17" s="15" t="s">
        <v>228</v>
      </c>
    </row>
    <row r="18" spans="1:10" ht="71.25" x14ac:dyDescent="0.2">
      <c r="A18" s="2">
        <v>12</v>
      </c>
      <c r="B18" s="15" t="s">
        <v>232</v>
      </c>
      <c r="C18" s="15" t="s">
        <v>233</v>
      </c>
      <c r="D18" s="15" t="s">
        <v>236</v>
      </c>
      <c r="E18" s="2">
        <v>20</v>
      </c>
      <c r="F18" s="2">
        <v>18</v>
      </c>
      <c r="G18" s="2">
        <v>0</v>
      </c>
      <c r="H18" s="2">
        <v>0</v>
      </c>
      <c r="I18" s="2">
        <f t="shared" si="0"/>
        <v>38</v>
      </c>
      <c r="J18" s="15" t="s">
        <v>228</v>
      </c>
    </row>
    <row r="19" spans="1:10" ht="57" x14ac:dyDescent="0.2">
      <c r="A19" s="2">
        <v>13</v>
      </c>
      <c r="B19" s="15" t="s">
        <v>62</v>
      </c>
      <c r="C19" s="15" t="s">
        <v>237</v>
      </c>
      <c r="D19" s="15" t="s">
        <v>75</v>
      </c>
      <c r="E19" s="2">
        <v>0</v>
      </c>
      <c r="F19" s="2">
        <v>4</v>
      </c>
      <c r="G19" s="2">
        <v>3</v>
      </c>
      <c r="H19" s="2">
        <v>2</v>
      </c>
      <c r="I19" s="2">
        <f t="shared" si="0"/>
        <v>9</v>
      </c>
      <c r="J19" s="15" t="s">
        <v>223</v>
      </c>
    </row>
    <row r="20" spans="1:10" ht="57" x14ac:dyDescent="0.2">
      <c r="A20" s="2">
        <v>14</v>
      </c>
      <c r="B20" s="15" t="s">
        <v>62</v>
      </c>
      <c r="C20" s="15" t="s">
        <v>237</v>
      </c>
      <c r="D20" s="15" t="s">
        <v>77</v>
      </c>
      <c r="E20" s="2">
        <v>0</v>
      </c>
      <c r="F20" s="2">
        <v>32</v>
      </c>
      <c r="G20" s="2">
        <v>26</v>
      </c>
      <c r="H20" s="2">
        <v>15</v>
      </c>
      <c r="I20" s="2">
        <f t="shared" si="0"/>
        <v>73</v>
      </c>
      <c r="J20" s="15" t="s">
        <v>223</v>
      </c>
    </row>
    <row r="21" spans="1:10" ht="71.25" x14ac:dyDescent="0.2">
      <c r="A21" s="2">
        <v>15</v>
      </c>
      <c r="B21" s="15" t="s">
        <v>196</v>
      </c>
      <c r="C21" s="15" t="s">
        <v>238</v>
      </c>
      <c r="D21" s="15" t="s">
        <v>87</v>
      </c>
      <c r="E21" s="2">
        <v>0</v>
      </c>
      <c r="F21" s="2">
        <v>600</v>
      </c>
      <c r="G21" s="2">
        <v>450</v>
      </c>
      <c r="H21" s="2">
        <v>300</v>
      </c>
      <c r="I21" s="2">
        <f t="shared" si="0"/>
        <v>1350</v>
      </c>
      <c r="J21" s="15" t="s">
        <v>223</v>
      </c>
    </row>
    <row r="22" spans="1:10" ht="71.25" x14ac:dyDescent="0.2">
      <c r="A22" s="2">
        <v>16</v>
      </c>
      <c r="B22" s="15" t="s">
        <v>196</v>
      </c>
      <c r="C22" s="15" t="s">
        <v>238</v>
      </c>
      <c r="D22" s="15" t="s">
        <v>239</v>
      </c>
      <c r="E22" s="2">
        <v>0</v>
      </c>
      <c r="F22" s="2">
        <v>62</v>
      </c>
      <c r="G22" s="2">
        <v>76</v>
      </c>
      <c r="H22" s="2">
        <v>44</v>
      </c>
      <c r="I22" s="2">
        <f t="shared" si="0"/>
        <v>182</v>
      </c>
      <c r="J22" s="15" t="s">
        <v>223</v>
      </c>
    </row>
    <row r="23" spans="1:10" ht="42.75" x14ac:dyDescent="0.2">
      <c r="A23" s="2">
        <v>17</v>
      </c>
      <c r="B23" s="15" t="s">
        <v>200</v>
      </c>
      <c r="C23" s="15" t="s">
        <v>240</v>
      </c>
      <c r="D23" s="15" t="s">
        <v>202</v>
      </c>
      <c r="E23" s="2">
        <v>5</v>
      </c>
      <c r="F23" s="2">
        <v>8</v>
      </c>
      <c r="G23" s="2">
        <v>4</v>
      </c>
      <c r="H23" s="2">
        <v>0</v>
      </c>
      <c r="I23" s="2">
        <f t="shared" si="0"/>
        <v>17</v>
      </c>
      <c r="J23" s="15" t="s">
        <v>223</v>
      </c>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ref="I39:I62" si="1">SUM(E39:H39)</f>
        <v>0</v>
      </c>
      <c r="J39" s="15"/>
    </row>
    <row r="40" spans="1:10" x14ac:dyDescent="0.2">
      <c r="A40" s="2">
        <v>34</v>
      </c>
      <c r="B40" s="15"/>
      <c r="C40" s="15"/>
      <c r="D40" s="15"/>
      <c r="E40" s="2"/>
      <c r="F40" s="2"/>
      <c r="G40" s="2"/>
      <c r="H40" s="2"/>
      <c r="I40" s="2">
        <f t="shared" si="1"/>
        <v>0</v>
      </c>
      <c r="J40" s="15"/>
    </row>
    <row r="41" spans="1:10" x14ac:dyDescent="0.2">
      <c r="A41" s="2">
        <v>35</v>
      </c>
      <c r="B41" s="15"/>
      <c r="C41" s="15"/>
      <c r="D41" s="15"/>
      <c r="E41" s="2"/>
      <c r="F41" s="2"/>
      <c r="G41" s="2"/>
      <c r="H41" s="2"/>
      <c r="I41" s="2">
        <f t="shared" si="1"/>
        <v>0</v>
      </c>
      <c r="J41" s="15"/>
    </row>
    <row r="42" spans="1:10" x14ac:dyDescent="0.2">
      <c r="A42" s="2">
        <v>36</v>
      </c>
      <c r="B42" s="15"/>
      <c r="C42" s="15"/>
      <c r="D42" s="15"/>
      <c r="E42" s="2"/>
      <c r="F42" s="2"/>
      <c r="G42" s="2"/>
      <c r="H42" s="2"/>
      <c r="I42" s="2">
        <f t="shared" si="1"/>
        <v>0</v>
      </c>
      <c r="J42" s="15"/>
    </row>
    <row r="43" spans="1:10" x14ac:dyDescent="0.2">
      <c r="A43" s="2">
        <v>37</v>
      </c>
      <c r="B43" s="15"/>
      <c r="C43" s="15"/>
      <c r="D43" s="15"/>
      <c r="E43" s="2"/>
      <c r="F43" s="2"/>
      <c r="G43" s="2"/>
      <c r="H43" s="2"/>
      <c r="I43" s="2">
        <f t="shared" si="1"/>
        <v>0</v>
      </c>
      <c r="J43" s="15"/>
    </row>
    <row r="44" spans="1:10" x14ac:dyDescent="0.2">
      <c r="A44" s="2">
        <v>38</v>
      </c>
      <c r="B44" s="15"/>
      <c r="C44" s="15"/>
      <c r="D44" s="15"/>
      <c r="E44" s="2"/>
      <c r="F44" s="2"/>
      <c r="G44" s="2"/>
      <c r="H44" s="2"/>
      <c r="I44" s="2">
        <f t="shared" si="1"/>
        <v>0</v>
      </c>
      <c r="J44" s="15"/>
    </row>
    <row r="45" spans="1:10" x14ac:dyDescent="0.2">
      <c r="A45" s="2">
        <v>39</v>
      </c>
      <c r="B45" s="15"/>
      <c r="C45" s="15"/>
      <c r="D45" s="15"/>
      <c r="E45" s="2"/>
      <c r="F45" s="2"/>
      <c r="G45" s="2"/>
      <c r="H45" s="2"/>
      <c r="I45" s="2">
        <f t="shared" si="1"/>
        <v>0</v>
      </c>
      <c r="J45" s="15"/>
    </row>
    <row r="46" spans="1:10" x14ac:dyDescent="0.2">
      <c r="A46" s="2">
        <v>40</v>
      </c>
      <c r="B46" s="15"/>
      <c r="C46" s="15"/>
      <c r="D46" s="15"/>
      <c r="E46" s="2"/>
      <c r="F46" s="2"/>
      <c r="G46" s="2"/>
      <c r="H46" s="2"/>
      <c r="I46" s="2">
        <f t="shared" si="1"/>
        <v>0</v>
      </c>
      <c r="J46" s="15"/>
    </row>
    <row r="47" spans="1:10" x14ac:dyDescent="0.2">
      <c r="A47" s="2">
        <v>41</v>
      </c>
      <c r="B47" s="15"/>
      <c r="C47" s="15"/>
      <c r="D47" s="15"/>
      <c r="E47" s="2"/>
      <c r="F47" s="2"/>
      <c r="G47" s="2"/>
      <c r="H47" s="2"/>
      <c r="I47" s="2">
        <f t="shared" si="1"/>
        <v>0</v>
      </c>
      <c r="J47" s="15"/>
    </row>
    <row r="48" spans="1:10" x14ac:dyDescent="0.2">
      <c r="A48" s="2">
        <v>42</v>
      </c>
      <c r="B48" s="15"/>
      <c r="C48" s="15"/>
      <c r="D48" s="15"/>
      <c r="E48" s="2"/>
      <c r="F48" s="2"/>
      <c r="G48" s="2"/>
      <c r="H48" s="2"/>
      <c r="I48" s="2">
        <f t="shared" si="1"/>
        <v>0</v>
      </c>
      <c r="J48" s="15"/>
    </row>
    <row r="49" spans="1:10" x14ac:dyDescent="0.2">
      <c r="A49" s="2">
        <v>43</v>
      </c>
      <c r="B49" s="15"/>
      <c r="C49" s="15"/>
      <c r="D49" s="15"/>
      <c r="E49" s="2"/>
      <c r="F49" s="2"/>
      <c r="G49" s="2"/>
      <c r="H49" s="2"/>
      <c r="I49" s="2">
        <f t="shared" si="1"/>
        <v>0</v>
      </c>
      <c r="J49" s="15"/>
    </row>
    <row r="50" spans="1:10" x14ac:dyDescent="0.2">
      <c r="A50" s="2">
        <v>44</v>
      </c>
      <c r="B50" s="15"/>
      <c r="C50" s="15"/>
      <c r="D50" s="15"/>
      <c r="E50" s="2"/>
      <c r="F50" s="2"/>
      <c r="G50" s="2"/>
      <c r="H50" s="2"/>
      <c r="I50" s="2">
        <f t="shared" si="1"/>
        <v>0</v>
      </c>
      <c r="J50" s="15"/>
    </row>
    <row r="51" spans="1:10" x14ac:dyDescent="0.2">
      <c r="A51" s="2">
        <v>45</v>
      </c>
      <c r="B51" s="15"/>
      <c r="C51" s="15"/>
      <c r="D51" s="15"/>
      <c r="E51" s="2"/>
      <c r="F51" s="2"/>
      <c r="G51" s="2"/>
      <c r="H51" s="2"/>
      <c r="I51" s="2">
        <f t="shared" si="1"/>
        <v>0</v>
      </c>
      <c r="J51" s="15"/>
    </row>
    <row r="52" spans="1:10" x14ac:dyDescent="0.2">
      <c r="A52" s="2">
        <v>46</v>
      </c>
      <c r="B52" s="15"/>
      <c r="C52" s="15"/>
      <c r="D52" s="15"/>
      <c r="E52" s="2"/>
      <c r="F52" s="2"/>
      <c r="G52" s="2"/>
      <c r="H52" s="2"/>
      <c r="I52" s="2">
        <f t="shared" si="1"/>
        <v>0</v>
      </c>
      <c r="J52" s="15"/>
    </row>
    <row r="53" spans="1:10" x14ac:dyDescent="0.2">
      <c r="A53" s="2">
        <v>47</v>
      </c>
      <c r="B53" s="15"/>
      <c r="C53" s="15"/>
      <c r="D53" s="15"/>
      <c r="E53" s="2"/>
      <c r="F53" s="2"/>
      <c r="G53" s="2"/>
      <c r="H53" s="2"/>
      <c r="I53" s="2">
        <f t="shared" si="1"/>
        <v>0</v>
      </c>
      <c r="J53" s="15"/>
    </row>
    <row r="54" spans="1:10" x14ac:dyDescent="0.2">
      <c r="A54" s="2">
        <v>48</v>
      </c>
      <c r="B54" s="15"/>
      <c r="C54" s="15"/>
      <c r="D54" s="15"/>
      <c r="E54" s="2"/>
      <c r="F54" s="2"/>
      <c r="G54" s="2"/>
      <c r="H54" s="2"/>
      <c r="I54" s="2">
        <f t="shared" si="1"/>
        <v>0</v>
      </c>
      <c r="J54" s="15"/>
    </row>
    <row r="55" spans="1:10" x14ac:dyDescent="0.2">
      <c r="A55" s="2">
        <v>49</v>
      </c>
      <c r="B55" s="15"/>
      <c r="C55" s="15"/>
      <c r="D55" s="15"/>
      <c r="E55" s="2"/>
      <c r="F55" s="2"/>
      <c r="G55" s="2"/>
      <c r="H55" s="2"/>
      <c r="I55" s="2">
        <f t="shared" si="1"/>
        <v>0</v>
      </c>
      <c r="J55" s="15"/>
    </row>
    <row r="56" spans="1:10" x14ac:dyDescent="0.2">
      <c r="A56" s="2">
        <v>50</v>
      </c>
      <c r="B56" s="15"/>
      <c r="C56" s="15"/>
      <c r="D56" s="15"/>
      <c r="E56" s="2"/>
      <c r="F56" s="2"/>
      <c r="G56" s="2"/>
      <c r="H56" s="2"/>
      <c r="I56" s="2">
        <f t="shared" si="1"/>
        <v>0</v>
      </c>
      <c r="J56" s="15"/>
    </row>
    <row r="57" spans="1:10" x14ac:dyDescent="0.2">
      <c r="A57" s="2">
        <v>51</v>
      </c>
      <c r="B57" s="15"/>
      <c r="C57" s="15"/>
      <c r="D57" s="15"/>
      <c r="E57" s="2"/>
      <c r="F57" s="2"/>
      <c r="G57" s="2"/>
      <c r="H57" s="2"/>
      <c r="I57" s="2">
        <f t="shared" si="1"/>
        <v>0</v>
      </c>
      <c r="J57" s="15"/>
    </row>
    <row r="58" spans="1:10" x14ac:dyDescent="0.2">
      <c r="A58" s="2">
        <v>52</v>
      </c>
      <c r="B58" s="15"/>
      <c r="C58" s="15"/>
      <c r="D58" s="15"/>
      <c r="E58" s="2"/>
      <c r="F58" s="2"/>
      <c r="G58" s="2"/>
      <c r="H58" s="2"/>
      <c r="I58" s="2">
        <f t="shared" si="1"/>
        <v>0</v>
      </c>
      <c r="J58" s="15"/>
    </row>
    <row r="59" spans="1:10" x14ac:dyDescent="0.2">
      <c r="A59" s="2">
        <v>53</v>
      </c>
      <c r="B59" s="15"/>
      <c r="C59" s="15"/>
      <c r="D59" s="15"/>
      <c r="E59" s="2"/>
      <c r="F59" s="2"/>
      <c r="G59" s="2"/>
      <c r="H59" s="2"/>
      <c r="I59" s="2">
        <f t="shared" si="1"/>
        <v>0</v>
      </c>
      <c r="J59" s="15"/>
    </row>
    <row r="60" spans="1:10" x14ac:dyDescent="0.2">
      <c r="A60" s="2">
        <v>54</v>
      </c>
      <c r="B60" s="15"/>
      <c r="C60" s="15"/>
      <c r="D60" s="15"/>
      <c r="E60" s="2"/>
      <c r="F60" s="2"/>
      <c r="G60" s="2"/>
      <c r="H60" s="2"/>
      <c r="I60" s="2">
        <f t="shared" si="1"/>
        <v>0</v>
      </c>
      <c r="J60" s="15"/>
    </row>
    <row r="61" spans="1:10" x14ac:dyDescent="0.2">
      <c r="A61" s="2">
        <v>55</v>
      </c>
      <c r="B61" s="15"/>
      <c r="C61" s="15"/>
      <c r="D61" s="15"/>
      <c r="E61" s="2"/>
      <c r="F61" s="2"/>
      <c r="G61" s="2"/>
      <c r="H61" s="2"/>
      <c r="I61" s="2">
        <f t="shared" si="1"/>
        <v>0</v>
      </c>
      <c r="J61" s="15"/>
    </row>
    <row r="62" spans="1:10" x14ac:dyDescent="0.2">
      <c r="A62" s="2">
        <v>56</v>
      </c>
      <c r="B62" s="15"/>
      <c r="C62" s="15"/>
      <c r="D62" s="15"/>
      <c r="E62" s="2"/>
      <c r="F62" s="2"/>
      <c r="G62" s="2"/>
      <c r="H62" s="2"/>
      <c r="I62" s="2">
        <f t="shared" si="1"/>
        <v>0</v>
      </c>
      <c r="J62" s="15"/>
    </row>
  </sheetData>
  <autoFilter ref="A6:J62" xr:uid="{89D5DD26-6E9F-4DCF-9F4E-E26EF549EAF9}">
    <sortState xmlns:xlrd2="http://schemas.microsoft.com/office/spreadsheetml/2017/richdata2" ref="A7:J62">
      <sortCondition ref="B6:B62"/>
    </sortState>
  </autoFilter>
  <mergeCells count="3">
    <mergeCell ref="E2:F2"/>
    <mergeCell ref="E3:F3"/>
    <mergeCell ref="E5:H5"/>
  </mergeCells>
  <phoneticPr fontId="3" type="noConversion"/>
  <dataValidations count="1">
    <dataValidation type="whole" allowBlank="1" showInputMessage="1" showErrorMessage="1" promptTitle="solo se permite número enteros" sqref="E7:H62" xr:uid="{9FE7B2B0-C348-4FC7-8B5A-E156C32EF38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0456FF37-B1CA-4B46-9394-DCC3CA269798}">
          <x14:formula1>
            <xm:f>Sheet2!#REF!</xm:f>
          </x14:formula1>
          <xm:sqref>D24:D60</xm:sqref>
        </x14:dataValidation>
        <x14:dataValidation type="list" allowBlank="1" showInputMessage="1" showErrorMessage="1" xr:uid="{9BB830CD-D2F7-4C93-AB76-6677407AE7AA}">
          <x14:formula1>
            <xm:f>Sheet4!$B$3:$B$223</xm:f>
          </x14:formula1>
          <xm:sqref>J7:J60</xm:sqref>
        </x14:dataValidation>
        <x14:dataValidation type="list" allowBlank="1" showInputMessage="1" showErrorMessage="1" xr:uid="{F27CD177-9951-45A9-8C29-5308ACF9315D}">
          <x14:formula1>
            <xm:f>Sheet2!$A$2:$A$49</xm:f>
          </x14:formula1>
          <xm:sqref>B7:B60</xm:sqref>
        </x14:dataValidation>
        <x14:dataValidation type="list" allowBlank="1" showInputMessage="1" showErrorMessage="1" xr:uid="{1B01C5E3-BEF7-4614-9D63-7EFC0777C830}">
          <x14:formula1>
            <xm:f>Sheet3!$D$2:$D$154</xm:f>
          </x14:formula1>
          <xm:sqref>D7:D23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DE743-0E2C-46BE-930E-D5AA91036D0C}">
  <sheetPr codeName="Sheet16">
    <tabColor rgb="FF92D050"/>
  </sheetPr>
  <dimension ref="A2:J55"/>
  <sheetViews>
    <sheetView tabSelected="1" topLeftCell="C1" zoomScale="90" zoomScaleNormal="90" workbookViewId="0">
      <selection activeCell="B7" sqref="B7:J21"/>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v>6120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142.5" x14ac:dyDescent="0.2">
      <c r="A7" s="2">
        <v>1</v>
      </c>
      <c r="B7" s="15" t="s">
        <v>62</v>
      </c>
      <c r="C7" s="15" t="s">
        <v>241</v>
      </c>
      <c r="D7" s="15" t="s">
        <v>75</v>
      </c>
      <c r="E7" s="2">
        <v>4</v>
      </c>
      <c r="F7" s="2">
        <v>5</v>
      </c>
      <c r="G7" s="2">
        <v>2</v>
      </c>
      <c r="H7" s="2">
        <v>2</v>
      </c>
      <c r="I7" s="2">
        <f>SUM(E7:H7)</f>
        <v>13</v>
      </c>
      <c r="J7" s="12" t="s">
        <v>242</v>
      </c>
    </row>
    <row r="8" spans="1:10" ht="85.5" x14ac:dyDescent="0.2">
      <c r="A8" s="2">
        <v>2</v>
      </c>
      <c r="B8" s="15" t="s">
        <v>62</v>
      </c>
      <c r="C8" s="15" t="s">
        <v>243</v>
      </c>
      <c r="D8" s="15" t="s">
        <v>77</v>
      </c>
      <c r="E8" s="2">
        <v>40</v>
      </c>
      <c r="F8" s="2">
        <v>35</v>
      </c>
      <c r="G8" s="2">
        <v>0</v>
      </c>
      <c r="H8" s="2">
        <v>0</v>
      </c>
      <c r="I8" s="2">
        <f t="shared" ref="I8:I55" si="0">SUM(E8:H8)</f>
        <v>75</v>
      </c>
      <c r="J8" s="15" t="s">
        <v>244</v>
      </c>
    </row>
    <row r="9" spans="1:10" ht="85.5" x14ac:dyDescent="0.2">
      <c r="A9" s="2">
        <v>3</v>
      </c>
      <c r="B9" s="15" t="s">
        <v>62</v>
      </c>
      <c r="C9" s="15" t="s">
        <v>245</v>
      </c>
      <c r="D9" s="15" t="s">
        <v>87</v>
      </c>
      <c r="E9" s="2">
        <v>49</v>
      </c>
      <c r="F9" s="2">
        <v>51</v>
      </c>
      <c r="G9" s="2">
        <v>0</v>
      </c>
      <c r="H9" s="2">
        <v>0</v>
      </c>
      <c r="I9" s="2">
        <f t="shared" si="0"/>
        <v>100</v>
      </c>
      <c r="J9" s="15" t="s">
        <v>244</v>
      </c>
    </row>
    <row r="10" spans="1:10" ht="57" x14ac:dyDescent="0.2">
      <c r="A10" s="2">
        <v>4</v>
      </c>
      <c r="B10" s="15" t="s">
        <v>62</v>
      </c>
      <c r="C10" s="15" t="s">
        <v>246</v>
      </c>
      <c r="D10" s="16" t="s">
        <v>23</v>
      </c>
      <c r="E10" s="2">
        <v>30</v>
      </c>
      <c r="F10" s="2">
        <v>50</v>
      </c>
      <c r="G10" s="2">
        <v>30</v>
      </c>
      <c r="H10" s="2">
        <v>80</v>
      </c>
      <c r="I10" s="2">
        <f t="shared" si="0"/>
        <v>190</v>
      </c>
      <c r="J10" s="15" t="s">
        <v>247</v>
      </c>
    </row>
    <row r="11" spans="1:10" ht="57" x14ac:dyDescent="0.2">
      <c r="A11" s="2">
        <v>5</v>
      </c>
      <c r="B11" s="15" t="s">
        <v>62</v>
      </c>
      <c r="C11" s="15" t="s">
        <v>248</v>
      </c>
      <c r="D11" s="15" t="s">
        <v>249</v>
      </c>
      <c r="E11" s="2">
        <v>3000</v>
      </c>
      <c r="F11" s="2">
        <v>4500</v>
      </c>
      <c r="G11" s="2">
        <v>3000</v>
      </c>
      <c r="H11" s="2">
        <v>4500</v>
      </c>
      <c r="I11" s="2">
        <f t="shared" si="0"/>
        <v>15000</v>
      </c>
      <c r="J11" s="15" t="s">
        <v>250</v>
      </c>
    </row>
    <row r="12" spans="1:10" ht="57" x14ac:dyDescent="0.2">
      <c r="A12" s="2">
        <v>6</v>
      </c>
      <c r="B12" s="15" t="s">
        <v>62</v>
      </c>
      <c r="C12" s="15" t="s">
        <v>248</v>
      </c>
      <c r="D12" s="15" t="s">
        <v>251</v>
      </c>
      <c r="E12" s="2">
        <v>3</v>
      </c>
      <c r="F12" s="2">
        <v>3</v>
      </c>
      <c r="G12" s="2">
        <v>3</v>
      </c>
      <c r="H12" s="2">
        <v>3</v>
      </c>
      <c r="I12" s="2">
        <f t="shared" si="0"/>
        <v>12</v>
      </c>
      <c r="J12" s="15" t="s">
        <v>250</v>
      </c>
    </row>
    <row r="13" spans="1:10" ht="128.25" x14ac:dyDescent="0.2">
      <c r="A13" s="2">
        <v>7</v>
      </c>
      <c r="B13" s="15" t="s">
        <v>62</v>
      </c>
      <c r="C13" s="15" t="s">
        <v>252</v>
      </c>
      <c r="D13" s="15" t="s">
        <v>253</v>
      </c>
      <c r="E13" s="2">
        <v>6</v>
      </c>
      <c r="F13" s="2">
        <v>12</v>
      </c>
      <c r="G13" s="2">
        <v>10</v>
      </c>
      <c r="H13" s="2">
        <v>9</v>
      </c>
      <c r="I13" s="2">
        <f t="shared" si="0"/>
        <v>37</v>
      </c>
      <c r="J13" s="15" t="s">
        <v>254</v>
      </c>
    </row>
    <row r="14" spans="1:10" ht="42.75" x14ac:dyDescent="0.2">
      <c r="A14" s="2">
        <v>8</v>
      </c>
      <c r="B14" s="15" t="s">
        <v>17</v>
      </c>
      <c r="C14" s="15" t="s">
        <v>255</v>
      </c>
      <c r="D14" s="15" t="s">
        <v>19</v>
      </c>
      <c r="E14" s="2">
        <v>0</v>
      </c>
      <c r="F14" s="2">
        <v>85</v>
      </c>
      <c r="G14" s="2">
        <v>85</v>
      </c>
      <c r="H14" s="2">
        <v>0</v>
      </c>
      <c r="I14" s="2">
        <f t="shared" si="0"/>
        <v>170</v>
      </c>
      <c r="J14" s="15" t="s">
        <v>250</v>
      </c>
    </row>
    <row r="15" spans="1:10" ht="57" x14ac:dyDescent="0.2">
      <c r="A15" s="2">
        <v>9</v>
      </c>
      <c r="B15" s="15" t="s">
        <v>17</v>
      </c>
      <c r="C15" s="15" t="s">
        <v>256</v>
      </c>
      <c r="D15" s="15" t="s">
        <v>15</v>
      </c>
      <c r="E15" s="2">
        <v>40</v>
      </c>
      <c r="F15" s="2">
        <v>190</v>
      </c>
      <c r="G15" s="2">
        <v>157</v>
      </c>
      <c r="H15" s="2">
        <v>93</v>
      </c>
      <c r="I15" s="2">
        <f t="shared" si="0"/>
        <v>480</v>
      </c>
      <c r="J15" s="15" t="s">
        <v>250</v>
      </c>
    </row>
    <row r="16" spans="1:10" ht="71.25" x14ac:dyDescent="0.2">
      <c r="A16" s="2">
        <v>10</v>
      </c>
      <c r="B16" s="15" t="s">
        <v>17</v>
      </c>
      <c r="C16" s="15" t="s">
        <v>257</v>
      </c>
      <c r="D16" s="16" t="s">
        <v>23</v>
      </c>
      <c r="E16" s="2">
        <v>20</v>
      </c>
      <c r="F16" s="2">
        <v>83</v>
      </c>
      <c r="G16" s="2">
        <v>85</v>
      </c>
      <c r="H16" s="2">
        <v>55</v>
      </c>
      <c r="I16" s="2">
        <f t="shared" si="0"/>
        <v>243</v>
      </c>
      <c r="J16" s="15" t="s">
        <v>250</v>
      </c>
    </row>
    <row r="17" spans="1:10" ht="128.25" x14ac:dyDescent="0.2">
      <c r="A17" s="2">
        <v>11</v>
      </c>
      <c r="B17" s="15" t="s">
        <v>17</v>
      </c>
      <c r="C17" s="15" t="s">
        <v>258</v>
      </c>
      <c r="D17" s="15" t="s">
        <v>25</v>
      </c>
      <c r="E17" s="2">
        <v>20</v>
      </c>
      <c r="F17" s="2">
        <v>75</v>
      </c>
      <c r="G17" s="2">
        <v>80</v>
      </c>
      <c r="H17" s="2">
        <v>75</v>
      </c>
      <c r="I17" s="2">
        <f t="shared" si="0"/>
        <v>250</v>
      </c>
      <c r="J17" s="15" t="s">
        <v>250</v>
      </c>
    </row>
    <row r="18" spans="1:10" ht="142.5" x14ac:dyDescent="0.2">
      <c r="A18" s="2">
        <v>12</v>
      </c>
      <c r="B18" s="15" t="s">
        <v>17</v>
      </c>
      <c r="C18" s="15" t="s">
        <v>259</v>
      </c>
      <c r="D18" s="15" t="s">
        <v>31</v>
      </c>
      <c r="E18" s="2">
        <v>0</v>
      </c>
      <c r="F18" s="2">
        <v>20</v>
      </c>
      <c r="G18" s="2">
        <v>20</v>
      </c>
      <c r="H18" s="2">
        <v>20</v>
      </c>
      <c r="I18" s="2">
        <f t="shared" si="0"/>
        <v>60</v>
      </c>
      <c r="J18" s="15" t="s">
        <v>250</v>
      </c>
    </row>
    <row r="19" spans="1:10" ht="85.5" x14ac:dyDescent="0.2">
      <c r="A19" s="2">
        <v>13</v>
      </c>
      <c r="B19" s="15" t="s">
        <v>17</v>
      </c>
      <c r="C19" s="15" t="s">
        <v>260</v>
      </c>
      <c r="D19" s="15" t="s">
        <v>33</v>
      </c>
      <c r="E19" s="2">
        <v>0</v>
      </c>
      <c r="F19" s="2">
        <v>5</v>
      </c>
      <c r="G19" s="2">
        <v>5</v>
      </c>
      <c r="H19" s="2">
        <v>0</v>
      </c>
      <c r="I19" s="2">
        <f t="shared" si="0"/>
        <v>10</v>
      </c>
      <c r="J19" s="15" t="s">
        <v>250</v>
      </c>
    </row>
    <row r="20" spans="1:10" ht="99.75" x14ac:dyDescent="0.2">
      <c r="A20" s="2">
        <v>14</v>
      </c>
      <c r="B20" s="15" t="s">
        <v>28</v>
      </c>
      <c r="C20" s="15" t="s">
        <v>261</v>
      </c>
      <c r="D20" s="15" t="s">
        <v>27</v>
      </c>
      <c r="E20" s="2">
        <v>0</v>
      </c>
      <c r="F20" s="2">
        <v>10</v>
      </c>
      <c r="G20" s="2">
        <v>20</v>
      </c>
      <c r="H20" s="2">
        <v>20</v>
      </c>
      <c r="I20" s="2">
        <f>SUM(E20:H20)</f>
        <v>50</v>
      </c>
      <c r="J20" s="15" t="s">
        <v>250</v>
      </c>
    </row>
    <row r="21" spans="1:10" ht="71.25" x14ac:dyDescent="0.2">
      <c r="A21" s="2">
        <v>15</v>
      </c>
      <c r="B21" s="15" t="s">
        <v>28</v>
      </c>
      <c r="C21" s="15" t="s">
        <v>262</v>
      </c>
      <c r="D21" s="15" t="s">
        <v>30</v>
      </c>
      <c r="E21" s="2">
        <v>0</v>
      </c>
      <c r="F21" s="2">
        <v>0</v>
      </c>
      <c r="G21" s="2">
        <v>1125</v>
      </c>
      <c r="H21" s="2">
        <v>1125</v>
      </c>
      <c r="I21" s="2">
        <f t="shared" si="0"/>
        <v>2250</v>
      </c>
      <c r="J21" s="15" t="s">
        <v>250</v>
      </c>
    </row>
    <row r="22" spans="1:10" x14ac:dyDescent="0.2">
      <c r="A22" s="2">
        <v>17</v>
      </c>
      <c r="B22" s="15"/>
      <c r="C22" s="15"/>
      <c r="D22" s="15"/>
      <c r="E22" s="2"/>
      <c r="F22" s="2"/>
      <c r="G22" s="2"/>
      <c r="H22" s="2"/>
      <c r="I22" s="2">
        <f t="shared" si="0"/>
        <v>0</v>
      </c>
      <c r="J22" s="15"/>
    </row>
    <row r="23" spans="1:10" x14ac:dyDescent="0.2">
      <c r="A23" s="2">
        <v>18</v>
      </c>
      <c r="B23" s="15"/>
      <c r="C23" s="15"/>
      <c r="D23" s="15"/>
      <c r="E23" s="2"/>
      <c r="F23" s="2"/>
      <c r="G23" s="2"/>
      <c r="H23" s="2"/>
      <c r="I23" s="2">
        <f t="shared" si="0"/>
        <v>0</v>
      </c>
      <c r="J23" s="15"/>
    </row>
    <row r="24" spans="1:10" x14ac:dyDescent="0.2">
      <c r="A24" s="2">
        <v>19</v>
      </c>
      <c r="B24" s="15"/>
      <c r="C24" s="15"/>
      <c r="D24" s="15"/>
      <c r="E24" s="2"/>
      <c r="F24" s="2"/>
      <c r="G24" s="2"/>
      <c r="H24" s="2"/>
      <c r="I24" s="2">
        <f t="shared" si="0"/>
        <v>0</v>
      </c>
      <c r="J24" s="15"/>
    </row>
    <row r="25" spans="1:10" x14ac:dyDescent="0.2">
      <c r="A25" s="2">
        <v>20</v>
      </c>
      <c r="B25" s="15"/>
      <c r="C25" s="15"/>
      <c r="D25" s="15"/>
      <c r="E25" s="2"/>
      <c r="F25" s="2"/>
      <c r="G25" s="2"/>
      <c r="H25" s="2"/>
      <c r="I25" s="2">
        <f t="shared" si="0"/>
        <v>0</v>
      </c>
      <c r="J25" s="15"/>
    </row>
    <row r="26" spans="1:10" x14ac:dyDescent="0.2">
      <c r="A26" s="2">
        <v>21</v>
      </c>
      <c r="B26" s="15"/>
      <c r="C26" s="15"/>
      <c r="D26" s="15"/>
      <c r="E26" s="2"/>
      <c r="F26" s="2"/>
      <c r="G26" s="2"/>
      <c r="H26" s="2"/>
      <c r="I26" s="2">
        <f t="shared" si="0"/>
        <v>0</v>
      </c>
      <c r="J26" s="15"/>
    </row>
    <row r="27" spans="1:10" x14ac:dyDescent="0.2">
      <c r="A27" s="2">
        <v>22</v>
      </c>
      <c r="B27" s="15"/>
      <c r="C27" s="15"/>
      <c r="D27" s="15"/>
      <c r="E27" s="2"/>
      <c r="F27" s="2"/>
      <c r="G27" s="2"/>
      <c r="H27" s="2"/>
      <c r="I27" s="2">
        <f t="shared" si="0"/>
        <v>0</v>
      </c>
      <c r="J27" s="15"/>
    </row>
    <row r="28" spans="1:10" x14ac:dyDescent="0.2">
      <c r="A28" s="2">
        <v>23</v>
      </c>
      <c r="B28" s="15"/>
      <c r="C28" s="15"/>
      <c r="D28" s="15"/>
      <c r="E28" s="2"/>
      <c r="F28" s="2"/>
      <c r="G28" s="2"/>
      <c r="H28" s="2"/>
      <c r="I28" s="2">
        <f t="shared" si="0"/>
        <v>0</v>
      </c>
      <c r="J28" s="15"/>
    </row>
    <row r="29" spans="1:10" x14ac:dyDescent="0.2">
      <c r="A29" s="2">
        <v>24</v>
      </c>
      <c r="B29" s="15"/>
      <c r="C29" s="15"/>
      <c r="D29" s="15"/>
      <c r="E29" s="2"/>
      <c r="F29" s="2"/>
      <c r="G29" s="2"/>
      <c r="H29" s="2"/>
      <c r="I29" s="2">
        <f t="shared" si="0"/>
        <v>0</v>
      </c>
      <c r="J29" s="15"/>
    </row>
    <row r="30" spans="1:10" x14ac:dyDescent="0.2">
      <c r="A30" s="2">
        <v>25</v>
      </c>
      <c r="B30" s="15"/>
      <c r="C30" s="15"/>
      <c r="D30" s="15"/>
      <c r="E30" s="2"/>
      <c r="F30" s="2"/>
      <c r="G30" s="2"/>
      <c r="H30" s="2"/>
      <c r="I30" s="2">
        <f t="shared" si="0"/>
        <v>0</v>
      </c>
      <c r="J30" s="15"/>
    </row>
    <row r="31" spans="1:10" x14ac:dyDescent="0.2">
      <c r="A31" s="2">
        <v>26</v>
      </c>
      <c r="B31" s="15"/>
      <c r="C31" s="15"/>
      <c r="D31" s="15"/>
      <c r="E31" s="2"/>
      <c r="F31" s="2"/>
      <c r="G31" s="2"/>
      <c r="H31" s="2"/>
      <c r="I31" s="2">
        <f t="shared" si="0"/>
        <v>0</v>
      </c>
      <c r="J31" s="15"/>
    </row>
    <row r="32" spans="1:10" x14ac:dyDescent="0.2">
      <c r="A32" s="2">
        <v>27</v>
      </c>
      <c r="B32" s="15"/>
      <c r="C32" s="15"/>
      <c r="D32" s="15"/>
      <c r="E32" s="2"/>
      <c r="F32" s="2"/>
      <c r="G32" s="2"/>
      <c r="H32" s="2"/>
      <c r="I32" s="2">
        <f t="shared" si="0"/>
        <v>0</v>
      </c>
      <c r="J32" s="15"/>
    </row>
    <row r="33" spans="1:10" x14ac:dyDescent="0.2">
      <c r="A33" s="2">
        <v>28</v>
      </c>
      <c r="B33" s="15"/>
      <c r="C33" s="15"/>
      <c r="D33" s="15"/>
      <c r="E33" s="2"/>
      <c r="F33" s="2"/>
      <c r="G33" s="2"/>
      <c r="H33" s="2"/>
      <c r="I33" s="2">
        <f t="shared" si="0"/>
        <v>0</v>
      </c>
      <c r="J33" s="15"/>
    </row>
    <row r="34" spans="1:10" x14ac:dyDescent="0.2">
      <c r="A34" s="2">
        <v>29</v>
      </c>
      <c r="B34" s="15"/>
      <c r="C34" s="15"/>
      <c r="D34" s="15"/>
      <c r="E34" s="2"/>
      <c r="F34" s="2"/>
      <c r="G34" s="2"/>
      <c r="H34" s="2"/>
      <c r="I34" s="2">
        <f t="shared" si="0"/>
        <v>0</v>
      </c>
      <c r="J34" s="15"/>
    </row>
    <row r="35" spans="1:10" x14ac:dyDescent="0.2">
      <c r="A35" s="2">
        <v>30</v>
      </c>
      <c r="B35" s="15"/>
      <c r="C35" s="15"/>
      <c r="D35" s="15"/>
      <c r="E35" s="2"/>
      <c r="F35" s="2"/>
      <c r="G35" s="2"/>
      <c r="H35" s="2"/>
      <c r="I35" s="2">
        <f t="shared" si="0"/>
        <v>0</v>
      </c>
      <c r="J35" s="15"/>
    </row>
    <row r="36" spans="1:10" x14ac:dyDescent="0.2">
      <c r="A36" s="2">
        <v>31</v>
      </c>
      <c r="B36" s="15"/>
      <c r="C36" s="15"/>
      <c r="D36" s="15"/>
      <c r="E36" s="2"/>
      <c r="F36" s="2"/>
      <c r="G36" s="2"/>
      <c r="H36" s="2"/>
      <c r="I36" s="2">
        <f t="shared" si="0"/>
        <v>0</v>
      </c>
      <c r="J36" s="15"/>
    </row>
    <row r="37" spans="1:10" x14ac:dyDescent="0.2">
      <c r="A37" s="2">
        <v>32</v>
      </c>
      <c r="B37" s="15"/>
      <c r="C37" s="15"/>
      <c r="D37" s="15"/>
      <c r="E37" s="2"/>
      <c r="F37" s="2"/>
      <c r="G37" s="2"/>
      <c r="H37" s="2"/>
      <c r="I37" s="2">
        <f t="shared" si="0"/>
        <v>0</v>
      </c>
      <c r="J37" s="15"/>
    </row>
    <row r="38" spans="1:10" x14ac:dyDescent="0.2">
      <c r="A38" s="2">
        <v>33</v>
      </c>
      <c r="B38" s="15"/>
      <c r="C38" s="15"/>
      <c r="D38" s="15"/>
      <c r="E38" s="2"/>
      <c r="F38" s="2"/>
      <c r="G38" s="2"/>
      <c r="H38" s="2"/>
      <c r="I38" s="2">
        <f t="shared" si="0"/>
        <v>0</v>
      </c>
      <c r="J38" s="15"/>
    </row>
    <row r="39" spans="1:10" x14ac:dyDescent="0.2">
      <c r="A39" s="2">
        <v>34</v>
      </c>
      <c r="B39" s="15"/>
      <c r="C39" s="15"/>
      <c r="D39" s="15"/>
      <c r="E39" s="2"/>
      <c r="F39" s="2"/>
      <c r="G39" s="2"/>
      <c r="H39" s="2"/>
      <c r="I39" s="2">
        <f t="shared" si="0"/>
        <v>0</v>
      </c>
      <c r="J39" s="15"/>
    </row>
    <row r="40" spans="1:10" x14ac:dyDescent="0.2">
      <c r="A40" s="2">
        <v>35</v>
      </c>
      <c r="B40" s="15"/>
      <c r="C40" s="15"/>
      <c r="D40" s="15"/>
      <c r="E40" s="2"/>
      <c r="F40" s="2"/>
      <c r="G40" s="2"/>
      <c r="H40" s="2"/>
      <c r="I40" s="2">
        <f t="shared" si="0"/>
        <v>0</v>
      </c>
      <c r="J40" s="15"/>
    </row>
    <row r="41" spans="1:10" x14ac:dyDescent="0.2">
      <c r="A41" s="2">
        <v>36</v>
      </c>
      <c r="B41" s="15"/>
      <c r="C41" s="15"/>
      <c r="D41" s="15"/>
      <c r="E41" s="2"/>
      <c r="F41" s="2"/>
      <c r="G41" s="2"/>
      <c r="H41" s="2"/>
      <c r="I41" s="2">
        <f t="shared" si="0"/>
        <v>0</v>
      </c>
      <c r="J41" s="15"/>
    </row>
    <row r="42" spans="1:10" x14ac:dyDescent="0.2">
      <c r="A42" s="2">
        <v>37</v>
      </c>
      <c r="B42" s="15"/>
      <c r="C42" s="15"/>
      <c r="D42" s="15"/>
      <c r="E42" s="2"/>
      <c r="F42" s="2"/>
      <c r="G42" s="2"/>
      <c r="H42" s="2"/>
      <c r="I42" s="2">
        <f t="shared" si="0"/>
        <v>0</v>
      </c>
      <c r="J42" s="15"/>
    </row>
    <row r="43" spans="1:10" x14ac:dyDescent="0.2">
      <c r="A43" s="2">
        <v>38</v>
      </c>
      <c r="B43" s="15"/>
      <c r="C43" s="15"/>
      <c r="D43" s="15"/>
      <c r="E43" s="2"/>
      <c r="F43" s="2"/>
      <c r="G43" s="2"/>
      <c r="H43" s="2"/>
      <c r="I43" s="2">
        <f t="shared" si="0"/>
        <v>0</v>
      </c>
      <c r="J43" s="15"/>
    </row>
    <row r="44" spans="1:10" x14ac:dyDescent="0.2">
      <c r="A44" s="2">
        <v>39</v>
      </c>
      <c r="B44" s="15"/>
      <c r="C44" s="15"/>
      <c r="D44" s="15"/>
      <c r="E44" s="2"/>
      <c r="F44" s="2"/>
      <c r="G44" s="2"/>
      <c r="H44" s="2"/>
      <c r="I44" s="2">
        <f t="shared" si="0"/>
        <v>0</v>
      </c>
      <c r="J44" s="15"/>
    </row>
    <row r="45" spans="1:10" x14ac:dyDescent="0.2">
      <c r="A45" s="2">
        <v>40</v>
      </c>
      <c r="B45" s="15"/>
      <c r="C45" s="15"/>
      <c r="D45" s="15"/>
      <c r="E45" s="2"/>
      <c r="F45" s="2"/>
      <c r="G45" s="2"/>
      <c r="H45" s="2"/>
      <c r="I45" s="2">
        <f t="shared" si="0"/>
        <v>0</v>
      </c>
      <c r="J45" s="15"/>
    </row>
    <row r="46" spans="1:10" x14ac:dyDescent="0.2">
      <c r="A46" s="2">
        <v>41</v>
      </c>
      <c r="B46" s="15"/>
      <c r="C46" s="15"/>
      <c r="D46" s="15"/>
      <c r="E46" s="2"/>
      <c r="F46" s="2"/>
      <c r="G46" s="2"/>
      <c r="H46" s="2"/>
      <c r="I46" s="2">
        <f t="shared" si="0"/>
        <v>0</v>
      </c>
      <c r="J46" s="15"/>
    </row>
    <row r="47" spans="1:10" x14ac:dyDescent="0.2">
      <c r="A47" s="2">
        <v>42</v>
      </c>
      <c r="B47" s="15"/>
      <c r="C47" s="15"/>
      <c r="D47" s="15"/>
      <c r="E47" s="2"/>
      <c r="F47" s="2"/>
      <c r="G47" s="2"/>
      <c r="H47" s="2"/>
      <c r="I47" s="2">
        <f t="shared" si="0"/>
        <v>0</v>
      </c>
      <c r="J47" s="15"/>
    </row>
    <row r="48" spans="1:10" x14ac:dyDescent="0.2">
      <c r="A48" s="2">
        <v>43</v>
      </c>
      <c r="B48" s="15"/>
      <c r="C48" s="15"/>
      <c r="D48" s="15"/>
      <c r="E48" s="2"/>
      <c r="F48" s="2"/>
      <c r="G48" s="2"/>
      <c r="H48" s="2"/>
      <c r="I48" s="2">
        <f t="shared" si="0"/>
        <v>0</v>
      </c>
      <c r="J48" s="15"/>
    </row>
    <row r="49" spans="1:10" x14ac:dyDescent="0.2">
      <c r="A49" s="2">
        <v>44</v>
      </c>
      <c r="B49" s="15"/>
      <c r="C49" s="15"/>
      <c r="D49" s="15"/>
      <c r="E49" s="2"/>
      <c r="F49" s="2"/>
      <c r="G49" s="2"/>
      <c r="H49" s="2"/>
      <c r="I49" s="2">
        <f t="shared" si="0"/>
        <v>0</v>
      </c>
      <c r="J49" s="15"/>
    </row>
    <row r="50" spans="1:10" x14ac:dyDescent="0.2">
      <c r="A50" s="2">
        <v>45</v>
      </c>
      <c r="B50" s="15"/>
      <c r="C50" s="15"/>
      <c r="D50" s="15"/>
      <c r="E50" s="2"/>
      <c r="F50" s="2"/>
      <c r="G50" s="2"/>
      <c r="H50" s="2"/>
      <c r="I50" s="2">
        <f t="shared" si="0"/>
        <v>0</v>
      </c>
      <c r="J50" s="15"/>
    </row>
    <row r="51" spans="1:10" x14ac:dyDescent="0.2">
      <c r="A51" s="2">
        <v>46</v>
      </c>
      <c r="B51" s="15"/>
      <c r="C51" s="15"/>
      <c r="D51" s="15"/>
      <c r="E51" s="2"/>
      <c r="F51" s="2"/>
      <c r="G51" s="2"/>
      <c r="H51" s="2"/>
      <c r="I51" s="2">
        <f t="shared" si="0"/>
        <v>0</v>
      </c>
      <c r="J51" s="15"/>
    </row>
    <row r="52" spans="1:10" x14ac:dyDescent="0.2">
      <c r="A52" s="2">
        <v>47</v>
      </c>
      <c r="B52" s="15"/>
      <c r="C52" s="15"/>
      <c r="D52" s="15"/>
      <c r="E52" s="2"/>
      <c r="F52" s="2"/>
      <c r="G52" s="2"/>
      <c r="H52" s="2"/>
      <c r="I52" s="2">
        <f t="shared" si="0"/>
        <v>0</v>
      </c>
      <c r="J52" s="15"/>
    </row>
    <row r="53" spans="1:10" x14ac:dyDescent="0.2">
      <c r="A53" s="2">
        <v>48</v>
      </c>
      <c r="B53" s="15"/>
      <c r="C53" s="15"/>
      <c r="D53" s="15"/>
      <c r="E53" s="2"/>
      <c r="F53" s="2"/>
      <c r="G53" s="2"/>
      <c r="H53" s="2"/>
      <c r="I53" s="2">
        <f t="shared" si="0"/>
        <v>0</v>
      </c>
      <c r="J53" s="15"/>
    </row>
    <row r="54" spans="1:10" x14ac:dyDescent="0.2">
      <c r="A54" s="2">
        <v>49</v>
      </c>
      <c r="B54" s="15"/>
      <c r="C54" s="15"/>
      <c r="D54" s="15"/>
      <c r="E54" s="2"/>
      <c r="F54" s="2"/>
      <c r="G54" s="2"/>
      <c r="H54" s="2"/>
      <c r="I54" s="2">
        <f t="shared" si="0"/>
        <v>0</v>
      </c>
      <c r="J54" s="15"/>
    </row>
    <row r="55" spans="1:10" x14ac:dyDescent="0.2">
      <c r="A55" s="2">
        <v>50</v>
      </c>
      <c r="B55" s="15"/>
      <c r="C55" s="15"/>
      <c r="D55" s="15"/>
      <c r="E55" s="2"/>
      <c r="F55" s="2"/>
      <c r="G55" s="2"/>
      <c r="H55" s="2"/>
      <c r="I55" s="2">
        <f t="shared" si="0"/>
        <v>0</v>
      </c>
      <c r="J55" s="15"/>
    </row>
  </sheetData>
  <autoFilter ref="A6:J55" xr:uid="{E5FDE743-0E2C-46BE-930E-D5AA91036D0C}"/>
  <mergeCells count="3">
    <mergeCell ref="E2:F2"/>
    <mergeCell ref="E3:F3"/>
    <mergeCell ref="E5:H5"/>
  </mergeCells>
  <phoneticPr fontId="3" type="noConversion"/>
  <dataValidations count="1">
    <dataValidation type="whole" allowBlank="1" showInputMessage="1" showErrorMessage="1" promptTitle="solo se permite número enteros" sqref="E7:H55" xr:uid="{FA6EACF6-6BCF-43D9-B069-16179839E11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1887FA5A-64F9-4A0C-B722-ED7E4F4BCBE0}">
          <x14:formula1>
            <xm:f>Sheet2!#REF!</xm:f>
          </x14:formula1>
          <xm:sqref>D22:D53</xm:sqref>
        </x14:dataValidation>
        <x14:dataValidation type="list" allowBlank="1" showInputMessage="1" showErrorMessage="1" xr:uid="{8ECBF3A4-507F-445F-854F-8EC1E8F8F47F}">
          <x14:formula1>
            <xm:f>Sheet3!$D$2:$D$154</xm:f>
          </x14:formula1>
          <xm:sqref>D7:D21</xm:sqref>
        </x14:dataValidation>
        <x14:dataValidation type="list" allowBlank="1" showInputMessage="1" showErrorMessage="1" xr:uid="{F9275924-7227-42FD-A287-30065297AC5B}">
          <x14:formula1>
            <xm:f>Sheet4!$B$3:$B$223</xm:f>
          </x14:formula1>
          <xm:sqref>J7:J53</xm:sqref>
        </x14:dataValidation>
        <x14:dataValidation type="list" allowBlank="1" showInputMessage="1" showErrorMessage="1" xr:uid="{66C0D943-CC21-4887-9AD0-8C0B32BAE99D}">
          <x14:formula1>
            <xm:f>Sheet2!$A$2:$A$49</xm:f>
          </x14:formula1>
          <xm:sqref>B7:B53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A5828-760C-45EA-8804-75B2300F8F20}">
  <sheetPr codeName="Sheet17">
    <tabColor rgb="FF92D050"/>
  </sheetPr>
  <dimension ref="A2:J56"/>
  <sheetViews>
    <sheetView workbookViewId="0">
      <selection activeCell="J7" sqref="J7"/>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v>1500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141</v>
      </c>
      <c r="C7" s="15" t="s">
        <v>263</v>
      </c>
      <c r="D7" s="15" t="s">
        <v>264</v>
      </c>
      <c r="E7" s="2">
        <v>37</v>
      </c>
      <c r="F7" s="2">
        <v>37</v>
      </c>
      <c r="G7" s="2">
        <v>38</v>
      </c>
      <c r="H7" s="2">
        <v>38</v>
      </c>
      <c r="I7" s="2">
        <f>SUM(E7:H7)</f>
        <v>150</v>
      </c>
      <c r="J7" s="15" t="s">
        <v>265</v>
      </c>
    </row>
    <row r="8" spans="1:10" ht="85.5" x14ac:dyDescent="0.2">
      <c r="A8" s="2">
        <v>2</v>
      </c>
      <c r="B8" s="15" t="s">
        <v>141</v>
      </c>
      <c r="C8" s="15" t="s">
        <v>266</v>
      </c>
      <c r="D8" s="15" t="s">
        <v>111</v>
      </c>
      <c r="E8" s="2">
        <v>374</v>
      </c>
      <c r="F8" s="2">
        <v>376</v>
      </c>
      <c r="G8" s="2">
        <v>375</v>
      </c>
      <c r="H8" s="2">
        <v>375</v>
      </c>
      <c r="I8" s="2">
        <f t="shared" ref="I8:I56" si="0">SUM(E8:H8)</f>
        <v>1500</v>
      </c>
      <c r="J8" s="15" t="s">
        <v>265</v>
      </c>
    </row>
    <row r="9" spans="1:10" ht="85.5" x14ac:dyDescent="0.2">
      <c r="A9" s="2">
        <v>3</v>
      </c>
      <c r="B9" s="15" t="s">
        <v>141</v>
      </c>
      <c r="C9" s="15" t="s">
        <v>267</v>
      </c>
      <c r="D9" s="15" t="s">
        <v>116</v>
      </c>
      <c r="E9" s="2">
        <v>100</v>
      </c>
      <c r="F9" s="2">
        <v>100</v>
      </c>
      <c r="G9" s="2">
        <v>100</v>
      </c>
      <c r="H9" s="2">
        <v>100</v>
      </c>
      <c r="I9" s="2">
        <f t="shared" si="0"/>
        <v>400</v>
      </c>
      <c r="J9" s="15" t="s">
        <v>265</v>
      </c>
    </row>
    <row r="10" spans="1:10" ht="57" x14ac:dyDescent="0.2">
      <c r="A10" s="2">
        <v>4</v>
      </c>
      <c r="B10" s="15" t="s">
        <v>146</v>
      </c>
      <c r="C10" s="15" t="s">
        <v>268</v>
      </c>
      <c r="D10" s="15" t="s">
        <v>148</v>
      </c>
      <c r="E10" s="2">
        <v>200</v>
      </c>
      <c r="F10" s="2">
        <v>200</v>
      </c>
      <c r="G10" s="2">
        <v>250</v>
      </c>
      <c r="H10" s="2">
        <v>200</v>
      </c>
      <c r="I10" s="2">
        <f t="shared" si="0"/>
        <v>850</v>
      </c>
      <c r="J10" s="15" t="s">
        <v>265</v>
      </c>
    </row>
    <row r="11" spans="1:10" ht="42.75" x14ac:dyDescent="0.2">
      <c r="A11" s="2">
        <v>5</v>
      </c>
      <c r="B11" s="15" t="s">
        <v>146</v>
      </c>
      <c r="C11" s="15" t="s">
        <v>269</v>
      </c>
      <c r="D11" s="15" t="s">
        <v>77</v>
      </c>
      <c r="E11" s="2">
        <v>20</v>
      </c>
      <c r="F11" s="2">
        <v>30</v>
      </c>
      <c r="G11" s="2">
        <v>25</v>
      </c>
      <c r="H11" s="2">
        <v>25</v>
      </c>
      <c r="I11" s="2">
        <f t="shared" si="0"/>
        <v>100</v>
      </c>
      <c r="J11" s="15" t="s">
        <v>265</v>
      </c>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C25A0813-450B-4038-A09E-A5A263B8A6E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160FE9E2-E86E-4D4C-8A75-33394AD8A846}">
          <x14:formula1>
            <xm:f>Sheet2!$A$2:$A$49</xm:f>
          </x14:formula1>
          <xm:sqref>B7:B54</xm:sqref>
        </x14:dataValidation>
        <x14:dataValidation type="list" allowBlank="1" showInputMessage="1" showErrorMessage="1" xr:uid="{195982EF-CD9C-49CB-AC10-59A46B6AC420}">
          <x14:formula1>
            <xm:f>Sheet4!$B$3:$B$223</xm:f>
          </x14:formula1>
          <xm:sqref>J7:J54</xm:sqref>
        </x14:dataValidation>
        <x14:dataValidation type="list" allowBlank="1" showInputMessage="1" showErrorMessage="1" xr:uid="{D1617EC4-1E7A-4B2E-92EB-C78B18519748}">
          <x14:formula1>
            <xm:f>Sheet2!#REF!</xm:f>
          </x14:formula1>
          <xm:sqref>D12:D54</xm:sqref>
        </x14:dataValidation>
        <x14:dataValidation type="list" allowBlank="1" showInputMessage="1" showErrorMessage="1" xr:uid="{1A1409AF-300C-4ABC-AD52-7EBFE93A07C3}">
          <x14:formula1>
            <xm:f>Sheet3!$D$2:$D$154</xm:f>
          </x14:formula1>
          <xm:sqref>D7:D11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DFD4A-D3BF-4E71-A35C-8D5D3FB5289C}">
  <sheetPr codeName="Sheet19">
    <tabColor rgb="FF92D050"/>
  </sheetPr>
  <dimension ref="A2:J56"/>
  <sheetViews>
    <sheetView workbookViewId="0"/>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v>14500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71.25" x14ac:dyDescent="0.2">
      <c r="A7" s="2">
        <v>1</v>
      </c>
      <c r="B7" s="15" t="s">
        <v>78</v>
      </c>
      <c r="C7" s="15" t="s">
        <v>270</v>
      </c>
      <c r="D7" s="15" t="s">
        <v>80</v>
      </c>
      <c r="E7" s="2">
        <v>624</v>
      </c>
      <c r="F7" s="2">
        <v>625</v>
      </c>
      <c r="G7" s="2">
        <v>625</v>
      </c>
      <c r="H7" s="2">
        <v>626</v>
      </c>
      <c r="I7" s="2">
        <f>SUM(E7:H7)</f>
        <v>2500</v>
      </c>
      <c r="J7" s="15" t="s">
        <v>247</v>
      </c>
    </row>
    <row r="8" spans="1:10" ht="71.25" x14ac:dyDescent="0.2">
      <c r="A8" s="2">
        <v>2</v>
      </c>
      <c r="B8" s="15" t="s">
        <v>78</v>
      </c>
      <c r="C8" s="15" t="s">
        <v>271</v>
      </c>
      <c r="D8" s="15" t="s">
        <v>272</v>
      </c>
      <c r="E8" s="2">
        <v>3321</v>
      </c>
      <c r="F8" s="2">
        <v>3324</v>
      </c>
      <c r="G8" s="2">
        <v>3324</v>
      </c>
      <c r="H8" s="2">
        <v>3324</v>
      </c>
      <c r="I8" s="2">
        <f t="shared" ref="I8:I56" si="0">SUM(E8:H8)</f>
        <v>13293</v>
      </c>
      <c r="J8" s="15" t="s">
        <v>247</v>
      </c>
    </row>
    <row r="9" spans="1:10" ht="71.25" x14ac:dyDescent="0.2">
      <c r="A9" s="2">
        <v>3</v>
      </c>
      <c r="B9" s="15" t="s">
        <v>78</v>
      </c>
      <c r="C9" s="15" t="s">
        <v>273</v>
      </c>
      <c r="D9" s="15" t="s">
        <v>274</v>
      </c>
      <c r="E9" s="2">
        <v>301</v>
      </c>
      <c r="F9" s="2">
        <v>302</v>
      </c>
      <c r="G9" s="2">
        <v>302</v>
      </c>
      <c r="H9" s="2">
        <v>302</v>
      </c>
      <c r="I9" s="2">
        <f t="shared" si="0"/>
        <v>1207</v>
      </c>
      <c r="J9" s="15" t="s">
        <v>247</v>
      </c>
    </row>
    <row r="10" spans="1:10" ht="71.25" x14ac:dyDescent="0.2">
      <c r="A10" s="2">
        <v>4</v>
      </c>
      <c r="B10" s="15" t="s">
        <v>78</v>
      </c>
      <c r="C10" s="15" t="s">
        <v>275</v>
      </c>
      <c r="D10" s="15" t="s">
        <v>90</v>
      </c>
      <c r="E10" s="2">
        <v>135</v>
      </c>
      <c r="F10" s="2">
        <v>135</v>
      </c>
      <c r="G10" s="2">
        <v>135</v>
      </c>
      <c r="H10" s="2">
        <v>136</v>
      </c>
      <c r="I10" s="2">
        <f t="shared" si="0"/>
        <v>541</v>
      </c>
      <c r="J10" s="15" t="s">
        <v>247</v>
      </c>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E50C6E71-AB62-4CCA-8478-D5140A0F641C}">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04F3AE41-B2A3-4AE2-86A1-ADF64B1A1CC8}">
          <x14:formula1>
            <xm:f>Sheet2!$A$2:$A$49</xm:f>
          </x14:formula1>
          <xm:sqref>B7:B54</xm:sqref>
        </x14:dataValidation>
        <x14:dataValidation type="list" allowBlank="1" showInputMessage="1" showErrorMessage="1" xr:uid="{B2BCB243-57BB-4141-96AA-25444F2D87F3}">
          <x14:formula1>
            <xm:f>Sheet4!$B$3:$B$223</xm:f>
          </x14:formula1>
          <xm:sqref>J7:J54</xm:sqref>
        </x14:dataValidation>
        <x14:dataValidation type="list" allowBlank="1" showInputMessage="1" showErrorMessage="1" xr:uid="{74F2E2A0-7A81-462E-8DA6-E620AEEF59CC}">
          <x14:formula1>
            <xm:f>Sheet2!#REF!</xm:f>
          </x14:formula1>
          <xm:sqref>D11:D54</xm:sqref>
        </x14:dataValidation>
        <x14:dataValidation type="list" allowBlank="1" showInputMessage="1" showErrorMessage="1" xr:uid="{E81CFA9E-AC9A-450B-9E54-D2D2FC5A76F4}">
          <x14:formula1>
            <xm:f>Sheet3!$D$2:$D$154</xm:f>
          </x14:formula1>
          <xm:sqref>D7:D10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08825-D479-49E0-81AC-B781B3B9136F}">
  <sheetPr codeName="Sheet21">
    <tabColor rgb="FF92D050"/>
  </sheetPr>
  <dimension ref="A2:J56"/>
  <sheetViews>
    <sheetView topLeftCell="E1" zoomScale="70" zoomScaleNormal="70" workbookViewId="0">
      <selection activeCell="J11" sqref="J11:J13"/>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v>110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114" x14ac:dyDescent="0.2">
      <c r="A7" s="2">
        <v>1</v>
      </c>
      <c r="B7" s="15" t="s">
        <v>50</v>
      </c>
      <c r="C7" s="15" t="s">
        <v>276</v>
      </c>
      <c r="D7" s="15" t="s">
        <v>277</v>
      </c>
      <c r="E7" s="2">
        <v>15</v>
      </c>
      <c r="F7" s="2">
        <v>17</v>
      </c>
      <c r="G7" s="2">
        <v>17</v>
      </c>
      <c r="H7" s="2">
        <v>16</v>
      </c>
      <c r="I7" s="2">
        <f>SUM(E7:H7)</f>
        <v>65</v>
      </c>
      <c r="J7" s="15" t="s">
        <v>250</v>
      </c>
    </row>
    <row r="8" spans="1:10" ht="71.25" x14ac:dyDescent="0.2">
      <c r="A8" s="2">
        <v>2</v>
      </c>
      <c r="B8" s="15" t="s">
        <v>50</v>
      </c>
      <c r="C8" s="15" t="s">
        <v>278</v>
      </c>
      <c r="D8" s="15" t="s">
        <v>180</v>
      </c>
      <c r="E8" s="2">
        <v>15</v>
      </c>
      <c r="F8" s="2">
        <v>17</v>
      </c>
      <c r="G8" s="2">
        <v>17</v>
      </c>
      <c r="H8" s="2">
        <v>16</v>
      </c>
      <c r="I8" s="2">
        <f t="shared" ref="I8:I56" si="0">SUM(E8:H8)</f>
        <v>65</v>
      </c>
      <c r="J8" s="15" t="s">
        <v>250</v>
      </c>
    </row>
    <row r="9" spans="1:10" ht="85.5" x14ac:dyDescent="0.2">
      <c r="A9" s="2">
        <v>3</v>
      </c>
      <c r="B9" s="15" t="s">
        <v>50</v>
      </c>
      <c r="C9" s="15" t="s">
        <v>279</v>
      </c>
      <c r="D9" s="15" t="s">
        <v>253</v>
      </c>
      <c r="E9" s="2">
        <v>1</v>
      </c>
      <c r="F9" s="2">
        <v>1</v>
      </c>
      <c r="G9" s="2">
        <v>2</v>
      </c>
      <c r="H9" s="2">
        <v>3</v>
      </c>
      <c r="I9" s="2">
        <f t="shared" si="0"/>
        <v>7</v>
      </c>
      <c r="J9" s="15" t="s">
        <v>250</v>
      </c>
    </row>
    <row r="10" spans="1:10" ht="71.25" x14ac:dyDescent="0.2">
      <c r="A10" s="2">
        <v>4</v>
      </c>
      <c r="B10" s="15" t="s">
        <v>50</v>
      </c>
      <c r="C10" s="15" t="s">
        <v>280</v>
      </c>
      <c r="D10" s="15" t="s">
        <v>281</v>
      </c>
      <c r="E10" s="2">
        <v>10</v>
      </c>
      <c r="F10" s="2">
        <v>20</v>
      </c>
      <c r="G10" s="2">
        <v>30</v>
      </c>
      <c r="H10" s="2">
        <v>50</v>
      </c>
      <c r="I10" s="2">
        <f t="shared" si="0"/>
        <v>110</v>
      </c>
      <c r="J10" s="15" t="s">
        <v>250</v>
      </c>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mergeCells count="3">
    <mergeCell ref="E2:F2"/>
    <mergeCell ref="E3:F3"/>
    <mergeCell ref="E5:H5"/>
  </mergeCells>
  <phoneticPr fontId="3" type="noConversion"/>
  <dataValidations count="1">
    <dataValidation type="whole" allowBlank="1" showInputMessage="1" showErrorMessage="1" promptTitle="solo se permite número enteros" sqref="E7:H56" xr:uid="{C7EB7EA4-691B-4C64-98CA-B131965AD227}">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B17DF9A5-A779-40D8-AD1A-A42F4097F847}">
          <x14:formula1>
            <xm:f>Sheet2!$A$2:$A$49</xm:f>
          </x14:formula1>
          <xm:sqref>B7:B54</xm:sqref>
        </x14:dataValidation>
        <x14:dataValidation type="list" allowBlank="1" showInputMessage="1" showErrorMessage="1" xr:uid="{E614F7FD-31BF-4050-9562-C1AFAAC80E50}">
          <x14:formula1>
            <xm:f>Sheet4!$B$3:$B$223</xm:f>
          </x14:formula1>
          <xm:sqref>J7:J54</xm:sqref>
        </x14:dataValidation>
        <x14:dataValidation type="list" allowBlank="1" showInputMessage="1" showErrorMessage="1" xr:uid="{71879A32-22B3-45D0-8EAB-EC5B82D17B0C}">
          <x14:formula1>
            <xm:f>Sheet2!#REF!</xm:f>
          </x14:formula1>
          <xm:sqref>D14:D54</xm:sqref>
        </x14:dataValidation>
        <x14:dataValidation type="list" allowBlank="1" showInputMessage="1" showErrorMessage="1" xr:uid="{ED92B359-5E39-4290-AC61-4D5D16ABB84F}">
          <x14:formula1>
            <xm:f>Sheet3!$D$2:$D$154</xm:f>
          </x14:formula1>
          <xm:sqref>D7:D13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95094-44C9-41C4-B214-D3EE89568D97}">
  <sheetPr codeName="Sheet20">
    <tabColor rgb="FF92D050"/>
  </sheetPr>
  <dimension ref="A2:J57"/>
  <sheetViews>
    <sheetView workbookViewId="0">
      <selection activeCell="C8" sqref="C8"/>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2" spans="1:10" x14ac:dyDescent="0.2">
      <c r="D2" s="21" t="s">
        <v>0</v>
      </c>
      <c r="E2" s="31" t="s">
        <v>1</v>
      </c>
      <c r="F2" s="32"/>
    </row>
    <row r="3" spans="1:10" x14ac:dyDescent="0.2">
      <c r="D3" s="14" t="s">
        <v>2</v>
      </c>
      <c r="E3" s="29">
        <v>460</v>
      </c>
      <c r="F3" s="30"/>
    </row>
    <row r="5" spans="1:10" ht="15" customHeight="1" x14ac:dyDescent="0.2">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141</v>
      </c>
      <c r="C7" s="15" t="s">
        <v>282</v>
      </c>
      <c r="D7" s="15" t="s">
        <v>283</v>
      </c>
      <c r="E7" s="2">
        <v>14</v>
      </c>
      <c r="F7" s="2">
        <v>18</v>
      </c>
      <c r="G7" s="2">
        <v>21</v>
      </c>
      <c r="H7" s="2">
        <v>17</v>
      </c>
      <c r="I7" s="2">
        <f>SUM(E7:H7)</f>
        <v>70</v>
      </c>
      <c r="J7" s="15" t="s">
        <v>284</v>
      </c>
    </row>
    <row r="8" spans="1:10" ht="85.5" x14ac:dyDescent="0.2">
      <c r="A8" s="24"/>
      <c r="B8" s="16" t="s">
        <v>141</v>
      </c>
      <c r="C8" s="16" t="s">
        <v>285</v>
      </c>
      <c r="D8" s="16" t="s">
        <v>120</v>
      </c>
      <c r="E8" s="24">
        <v>25</v>
      </c>
      <c r="F8" s="24">
        <v>25</v>
      </c>
      <c r="G8" s="24">
        <v>25</v>
      </c>
      <c r="H8" s="24">
        <v>30</v>
      </c>
      <c r="I8" s="24">
        <v>105</v>
      </c>
      <c r="J8" s="16" t="s">
        <v>284</v>
      </c>
    </row>
    <row r="9" spans="1:10" ht="69" customHeight="1" x14ac:dyDescent="0.2">
      <c r="A9" s="2">
        <v>2</v>
      </c>
      <c r="B9" s="15" t="s">
        <v>141</v>
      </c>
      <c r="C9" s="15" t="s">
        <v>286</v>
      </c>
      <c r="D9" s="15" t="s">
        <v>111</v>
      </c>
      <c r="E9" s="2">
        <v>7</v>
      </c>
      <c r="F9" s="2">
        <v>9</v>
      </c>
      <c r="G9" s="2">
        <v>10</v>
      </c>
      <c r="H9" s="2">
        <v>8</v>
      </c>
      <c r="I9" s="2">
        <f t="shared" ref="I9:I57" si="0">SUM(E9:H9)</f>
        <v>34</v>
      </c>
      <c r="J9" s="15" t="s">
        <v>284</v>
      </c>
    </row>
    <row r="10" spans="1:10" ht="85.5" x14ac:dyDescent="0.2">
      <c r="A10" s="2">
        <v>3</v>
      </c>
      <c r="B10" s="15" t="s">
        <v>141</v>
      </c>
      <c r="C10" s="15" t="s">
        <v>287</v>
      </c>
      <c r="D10" s="15" t="s">
        <v>239</v>
      </c>
      <c r="E10" s="2">
        <v>50</v>
      </c>
      <c r="F10" s="2">
        <v>0</v>
      </c>
      <c r="G10" s="2">
        <v>0</v>
      </c>
      <c r="H10" s="2">
        <v>0</v>
      </c>
      <c r="I10" s="2">
        <f t="shared" si="0"/>
        <v>50</v>
      </c>
      <c r="J10" s="15" t="s">
        <v>284</v>
      </c>
    </row>
    <row r="11" spans="1:10" ht="85.5" x14ac:dyDescent="0.2">
      <c r="A11" s="2">
        <v>4</v>
      </c>
      <c r="B11" s="15" t="s">
        <v>141</v>
      </c>
      <c r="C11" s="15" t="s">
        <v>288</v>
      </c>
      <c r="D11" s="15" t="s">
        <v>148</v>
      </c>
      <c r="E11" s="2">
        <v>5</v>
      </c>
      <c r="F11" s="2">
        <v>7</v>
      </c>
      <c r="G11" s="2">
        <v>8</v>
      </c>
      <c r="H11" s="2">
        <v>6</v>
      </c>
      <c r="I11" s="2">
        <f t="shared" si="0"/>
        <v>26</v>
      </c>
      <c r="J11" s="15" t="s">
        <v>284</v>
      </c>
    </row>
    <row r="12" spans="1:10" ht="85.5" x14ac:dyDescent="0.2">
      <c r="A12" s="2">
        <v>5</v>
      </c>
      <c r="B12" s="15" t="s">
        <v>141</v>
      </c>
      <c r="C12" s="15" t="s">
        <v>289</v>
      </c>
      <c r="D12" s="15" t="s">
        <v>99</v>
      </c>
      <c r="E12" s="2">
        <v>10</v>
      </c>
      <c r="F12" s="2">
        <v>58</v>
      </c>
      <c r="G12" s="2">
        <v>69</v>
      </c>
      <c r="H12" s="2">
        <v>63</v>
      </c>
      <c r="I12" s="2">
        <f t="shared" si="0"/>
        <v>200</v>
      </c>
      <c r="J12" s="15" t="s">
        <v>284</v>
      </c>
    </row>
    <row r="13" spans="1:10" ht="57" x14ac:dyDescent="0.2">
      <c r="A13" s="2">
        <v>6</v>
      </c>
      <c r="B13" s="15" t="s">
        <v>155</v>
      </c>
      <c r="C13" s="15" t="s">
        <v>290</v>
      </c>
      <c r="D13" s="15" t="s">
        <v>139</v>
      </c>
      <c r="E13" s="2">
        <v>6</v>
      </c>
      <c r="F13" s="2">
        <v>6</v>
      </c>
      <c r="G13" s="2">
        <v>7</v>
      </c>
      <c r="H13" s="2">
        <v>7</v>
      </c>
      <c r="I13" s="2">
        <f t="shared" si="0"/>
        <v>26</v>
      </c>
      <c r="J13" s="15" t="s">
        <v>284</v>
      </c>
    </row>
    <row r="14" spans="1:10" ht="57" x14ac:dyDescent="0.2">
      <c r="A14" s="2">
        <v>7</v>
      </c>
      <c r="B14" s="15" t="s">
        <v>155</v>
      </c>
      <c r="C14" s="15" t="s">
        <v>291</v>
      </c>
      <c r="D14" s="15" t="s">
        <v>90</v>
      </c>
      <c r="E14" s="2">
        <v>1</v>
      </c>
      <c r="F14" s="2">
        <v>1</v>
      </c>
      <c r="G14" s="2">
        <v>1</v>
      </c>
      <c r="H14" s="2">
        <v>1</v>
      </c>
      <c r="I14" s="2">
        <f t="shared" si="0"/>
        <v>4</v>
      </c>
      <c r="J14" s="15" t="s">
        <v>284</v>
      </c>
    </row>
    <row r="15" spans="1:10" ht="57" x14ac:dyDescent="0.2">
      <c r="A15" s="2">
        <v>8</v>
      </c>
      <c r="B15" s="15" t="s">
        <v>155</v>
      </c>
      <c r="C15" s="15" t="s">
        <v>291</v>
      </c>
      <c r="D15" s="15" t="s">
        <v>292</v>
      </c>
      <c r="E15" s="2">
        <v>1</v>
      </c>
      <c r="F15" s="2">
        <v>17</v>
      </c>
      <c r="G15" s="2">
        <v>18</v>
      </c>
      <c r="H15" s="2">
        <v>15</v>
      </c>
      <c r="I15" s="2">
        <f t="shared" si="0"/>
        <v>51</v>
      </c>
      <c r="J15" s="15" t="s">
        <v>284</v>
      </c>
    </row>
    <row r="16" spans="1:10" ht="57" x14ac:dyDescent="0.2">
      <c r="A16" s="2">
        <v>9</v>
      </c>
      <c r="B16" s="15" t="s">
        <v>155</v>
      </c>
      <c r="C16" s="15" t="s">
        <v>293</v>
      </c>
      <c r="D16" s="15" t="s">
        <v>202</v>
      </c>
      <c r="E16" s="2">
        <v>0</v>
      </c>
      <c r="F16" s="2">
        <v>1</v>
      </c>
      <c r="G16" s="2">
        <v>1</v>
      </c>
      <c r="H16" s="2">
        <v>0</v>
      </c>
      <c r="I16" s="2">
        <f t="shared" si="0"/>
        <v>2</v>
      </c>
      <c r="J16" s="15" t="s">
        <v>284</v>
      </c>
    </row>
    <row r="17" spans="1:10" x14ac:dyDescent="0.2">
      <c r="A17" s="2">
        <v>10</v>
      </c>
      <c r="B17" s="15"/>
      <c r="C17" s="15"/>
      <c r="D17" s="15"/>
      <c r="E17" s="2"/>
      <c r="F17" s="2"/>
      <c r="G17" s="2"/>
      <c r="H17" s="2"/>
      <c r="I17" s="2">
        <f t="shared" si="0"/>
        <v>0</v>
      </c>
      <c r="J17" s="15"/>
    </row>
    <row r="18" spans="1:10" x14ac:dyDescent="0.2">
      <c r="A18" s="2">
        <v>11</v>
      </c>
      <c r="B18" s="15"/>
      <c r="C18" s="15"/>
      <c r="D18" s="15"/>
      <c r="E18" s="2"/>
      <c r="F18" s="2"/>
      <c r="G18" s="2"/>
      <c r="H18" s="2"/>
      <c r="I18" s="2">
        <f t="shared" si="0"/>
        <v>0</v>
      </c>
      <c r="J18" s="15"/>
    </row>
    <row r="19" spans="1:10" x14ac:dyDescent="0.2">
      <c r="A19" s="2">
        <v>12</v>
      </c>
      <c r="B19" s="15"/>
      <c r="C19" s="15"/>
      <c r="D19" s="15"/>
      <c r="E19" s="2"/>
      <c r="F19" s="2"/>
      <c r="G19" s="2"/>
      <c r="H19" s="2"/>
      <c r="I19" s="2">
        <f t="shared" si="0"/>
        <v>0</v>
      </c>
      <c r="J19" s="15"/>
    </row>
    <row r="20" spans="1:10" x14ac:dyDescent="0.2">
      <c r="A20" s="2">
        <v>13</v>
      </c>
      <c r="B20" s="15"/>
      <c r="C20" s="15"/>
      <c r="D20" s="15"/>
      <c r="E20" s="2"/>
      <c r="F20" s="2"/>
      <c r="G20" s="2"/>
      <c r="H20" s="2"/>
      <c r="I20" s="2">
        <f t="shared" si="0"/>
        <v>0</v>
      </c>
      <c r="J20" s="15"/>
    </row>
    <row r="21" spans="1:10" x14ac:dyDescent="0.2">
      <c r="A21" s="2">
        <v>14</v>
      </c>
      <c r="B21" s="15"/>
      <c r="C21" s="15"/>
      <c r="D21" s="15"/>
      <c r="E21" s="2"/>
      <c r="F21" s="2"/>
      <c r="G21" s="2"/>
      <c r="H21" s="2"/>
      <c r="I21" s="2">
        <f t="shared" si="0"/>
        <v>0</v>
      </c>
      <c r="J21" s="15"/>
    </row>
    <row r="22" spans="1:10" x14ac:dyDescent="0.2">
      <c r="A22" s="2">
        <v>15</v>
      </c>
      <c r="B22" s="15"/>
      <c r="C22" s="15"/>
      <c r="D22" s="15"/>
      <c r="E22" s="2"/>
      <c r="F22" s="2"/>
      <c r="G22" s="2"/>
      <c r="H22" s="2"/>
      <c r="I22" s="2">
        <f t="shared" si="0"/>
        <v>0</v>
      </c>
      <c r="J22" s="15"/>
    </row>
    <row r="23" spans="1:10" x14ac:dyDescent="0.2">
      <c r="A23" s="2">
        <v>16</v>
      </c>
      <c r="B23" s="15"/>
      <c r="C23" s="15"/>
      <c r="D23" s="15"/>
      <c r="E23" s="2"/>
      <c r="F23" s="2"/>
      <c r="G23" s="2"/>
      <c r="H23" s="2"/>
      <c r="I23" s="2">
        <f t="shared" si="0"/>
        <v>0</v>
      </c>
      <c r="J23" s="15"/>
    </row>
    <row r="24" spans="1:10" x14ac:dyDescent="0.2">
      <c r="A24" s="2">
        <v>17</v>
      </c>
      <c r="B24" s="15"/>
      <c r="C24" s="15"/>
      <c r="D24" s="15"/>
      <c r="E24" s="2"/>
      <c r="F24" s="2"/>
      <c r="G24" s="2"/>
      <c r="H24" s="2"/>
      <c r="I24" s="2">
        <f t="shared" si="0"/>
        <v>0</v>
      </c>
      <c r="J24" s="15"/>
    </row>
    <row r="25" spans="1:10" x14ac:dyDescent="0.2">
      <c r="A25" s="2">
        <v>18</v>
      </c>
      <c r="B25" s="15"/>
      <c r="C25" s="15"/>
      <c r="D25" s="15"/>
      <c r="E25" s="2"/>
      <c r="F25" s="2"/>
      <c r="G25" s="2"/>
      <c r="H25" s="2"/>
      <c r="I25" s="2">
        <f t="shared" si="0"/>
        <v>0</v>
      </c>
      <c r="J25" s="15"/>
    </row>
    <row r="26" spans="1:10" x14ac:dyDescent="0.2">
      <c r="A26" s="2">
        <v>19</v>
      </c>
      <c r="B26" s="15"/>
      <c r="C26" s="15"/>
      <c r="D26" s="15"/>
      <c r="E26" s="2"/>
      <c r="F26" s="2"/>
      <c r="G26" s="2"/>
      <c r="H26" s="2"/>
      <c r="I26" s="2">
        <f t="shared" si="0"/>
        <v>0</v>
      </c>
      <c r="J26" s="15"/>
    </row>
    <row r="27" spans="1:10" x14ac:dyDescent="0.2">
      <c r="A27" s="2">
        <v>20</v>
      </c>
      <c r="B27" s="15"/>
      <c r="C27" s="15"/>
      <c r="D27" s="15"/>
      <c r="E27" s="2"/>
      <c r="F27" s="2"/>
      <c r="G27" s="2"/>
      <c r="H27" s="2"/>
      <c r="I27" s="2">
        <f t="shared" si="0"/>
        <v>0</v>
      </c>
      <c r="J27" s="15"/>
    </row>
    <row r="28" spans="1:10" x14ac:dyDescent="0.2">
      <c r="A28" s="2">
        <v>21</v>
      </c>
      <c r="B28" s="15"/>
      <c r="C28" s="15"/>
      <c r="D28" s="15"/>
      <c r="E28" s="2"/>
      <c r="F28" s="2"/>
      <c r="G28" s="2"/>
      <c r="H28" s="2"/>
      <c r="I28" s="2">
        <f t="shared" si="0"/>
        <v>0</v>
      </c>
      <c r="J28" s="15"/>
    </row>
    <row r="29" spans="1:10" x14ac:dyDescent="0.2">
      <c r="A29" s="2">
        <v>22</v>
      </c>
      <c r="B29" s="15"/>
      <c r="C29" s="15"/>
      <c r="D29" s="15"/>
      <c r="E29" s="2"/>
      <c r="F29" s="2"/>
      <c r="G29" s="2"/>
      <c r="H29" s="2"/>
      <c r="I29" s="2">
        <f t="shared" si="0"/>
        <v>0</v>
      </c>
      <c r="J29" s="15"/>
    </row>
    <row r="30" spans="1:10" x14ac:dyDescent="0.2">
      <c r="A30" s="2">
        <v>23</v>
      </c>
      <c r="B30" s="15"/>
      <c r="C30" s="15"/>
      <c r="D30" s="15"/>
      <c r="E30" s="2"/>
      <c r="F30" s="2"/>
      <c r="G30" s="2"/>
      <c r="H30" s="2"/>
      <c r="I30" s="2">
        <f t="shared" si="0"/>
        <v>0</v>
      </c>
      <c r="J30" s="15"/>
    </row>
    <row r="31" spans="1:10" x14ac:dyDescent="0.2">
      <c r="A31" s="2">
        <v>24</v>
      </c>
      <c r="B31" s="15"/>
      <c r="C31" s="15"/>
      <c r="D31" s="15"/>
      <c r="E31" s="2"/>
      <c r="F31" s="2"/>
      <c r="G31" s="2"/>
      <c r="H31" s="2"/>
      <c r="I31" s="2">
        <f t="shared" si="0"/>
        <v>0</v>
      </c>
      <c r="J31" s="15"/>
    </row>
    <row r="32" spans="1:10" x14ac:dyDescent="0.2">
      <c r="A32" s="2">
        <v>25</v>
      </c>
      <c r="B32" s="15"/>
      <c r="C32" s="15"/>
      <c r="D32" s="15"/>
      <c r="E32" s="2"/>
      <c r="F32" s="2"/>
      <c r="G32" s="2"/>
      <c r="H32" s="2"/>
      <c r="I32" s="2">
        <f t="shared" si="0"/>
        <v>0</v>
      </c>
      <c r="J32" s="15"/>
    </row>
    <row r="33" spans="1:10" x14ac:dyDescent="0.2">
      <c r="A33" s="2">
        <v>26</v>
      </c>
      <c r="B33" s="15"/>
      <c r="C33" s="15"/>
      <c r="D33" s="15"/>
      <c r="E33" s="2"/>
      <c r="F33" s="2"/>
      <c r="G33" s="2"/>
      <c r="H33" s="2"/>
      <c r="I33" s="2">
        <f t="shared" si="0"/>
        <v>0</v>
      </c>
      <c r="J33" s="15"/>
    </row>
    <row r="34" spans="1:10" x14ac:dyDescent="0.2">
      <c r="A34" s="2">
        <v>27</v>
      </c>
      <c r="B34" s="15"/>
      <c r="C34" s="15"/>
      <c r="D34" s="15"/>
      <c r="E34" s="2"/>
      <c r="F34" s="2"/>
      <c r="G34" s="2"/>
      <c r="H34" s="2"/>
      <c r="I34" s="2">
        <f t="shared" si="0"/>
        <v>0</v>
      </c>
      <c r="J34" s="15"/>
    </row>
    <row r="35" spans="1:10" x14ac:dyDescent="0.2">
      <c r="A35" s="2">
        <v>28</v>
      </c>
      <c r="B35" s="15"/>
      <c r="C35" s="15"/>
      <c r="D35" s="15"/>
      <c r="E35" s="2"/>
      <c r="F35" s="2"/>
      <c r="G35" s="2"/>
      <c r="H35" s="2"/>
      <c r="I35" s="2">
        <f t="shared" si="0"/>
        <v>0</v>
      </c>
      <c r="J35" s="15"/>
    </row>
    <row r="36" spans="1:10" x14ac:dyDescent="0.2">
      <c r="A36" s="2">
        <v>29</v>
      </c>
      <c r="B36" s="15"/>
      <c r="C36" s="15"/>
      <c r="D36" s="15"/>
      <c r="E36" s="2"/>
      <c r="F36" s="2"/>
      <c r="G36" s="2"/>
      <c r="H36" s="2"/>
      <c r="I36" s="2">
        <f t="shared" si="0"/>
        <v>0</v>
      </c>
      <c r="J36" s="15"/>
    </row>
    <row r="37" spans="1:10" x14ac:dyDescent="0.2">
      <c r="A37" s="2">
        <v>30</v>
      </c>
      <c r="B37" s="15"/>
      <c r="C37" s="15"/>
      <c r="D37" s="15"/>
      <c r="E37" s="2"/>
      <c r="F37" s="2"/>
      <c r="G37" s="2"/>
      <c r="H37" s="2"/>
      <c r="I37" s="2">
        <f t="shared" si="0"/>
        <v>0</v>
      </c>
      <c r="J37" s="15"/>
    </row>
    <row r="38" spans="1:10" x14ac:dyDescent="0.2">
      <c r="A38" s="2">
        <v>31</v>
      </c>
      <c r="B38" s="15"/>
      <c r="C38" s="15"/>
      <c r="D38" s="15"/>
      <c r="E38" s="2"/>
      <c r="F38" s="2"/>
      <c r="G38" s="2"/>
      <c r="H38" s="2"/>
      <c r="I38" s="2">
        <f t="shared" si="0"/>
        <v>0</v>
      </c>
      <c r="J38" s="15"/>
    </row>
    <row r="39" spans="1:10" x14ac:dyDescent="0.2">
      <c r="A39" s="2">
        <v>32</v>
      </c>
      <c r="B39" s="15"/>
      <c r="C39" s="15"/>
      <c r="D39" s="15"/>
      <c r="E39" s="2"/>
      <c r="F39" s="2"/>
      <c r="G39" s="2"/>
      <c r="H39" s="2"/>
      <c r="I39" s="2">
        <f t="shared" si="0"/>
        <v>0</v>
      </c>
      <c r="J39" s="15"/>
    </row>
    <row r="40" spans="1:10" x14ac:dyDescent="0.2">
      <c r="A40" s="2">
        <v>33</v>
      </c>
      <c r="B40" s="15"/>
      <c r="C40" s="15"/>
      <c r="D40" s="15"/>
      <c r="E40" s="2"/>
      <c r="F40" s="2"/>
      <c r="G40" s="2"/>
      <c r="H40" s="2"/>
      <c r="I40" s="2">
        <f t="shared" si="0"/>
        <v>0</v>
      </c>
      <c r="J40" s="15"/>
    </row>
    <row r="41" spans="1:10" x14ac:dyDescent="0.2">
      <c r="A41" s="2">
        <v>34</v>
      </c>
      <c r="B41" s="15"/>
      <c r="C41" s="15"/>
      <c r="D41" s="15"/>
      <c r="E41" s="2"/>
      <c r="F41" s="2"/>
      <c r="G41" s="2"/>
      <c r="H41" s="2"/>
      <c r="I41" s="2">
        <f t="shared" si="0"/>
        <v>0</v>
      </c>
      <c r="J41" s="15"/>
    </row>
    <row r="42" spans="1:10" x14ac:dyDescent="0.2">
      <c r="A42" s="2">
        <v>35</v>
      </c>
      <c r="B42" s="15"/>
      <c r="C42" s="15"/>
      <c r="D42" s="15"/>
      <c r="E42" s="2"/>
      <c r="F42" s="2"/>
      <c r="G42" s="2"/>
      <c r="H42" s="2"/>
      <c r="I42" s="2">
        <f t="shared" si="0"/>
        <v>0</v>
      </c>
      <c r="J42" s="15"/>
    </row>
    <row r="43" spans="1:10" x14ac:dyDescent="0.2">
      <c r="A43" s="2">
        <v>36</v>
      </c>
      <c r="B43" s="15"/>
      <c r="C43" s="15"/>
      <c r="D43" s="15"/>
      <c r="E43" s="2"/>
      <c r="F43" s="2"/>
      <c r="G43" s="2"/>
      <c r="H43" s="2"/>
      <c r="I43" s="2">
        <f t="shared" si="0"/>
        <v>0</v>
      </c>
      <c r="J43" s="15"/>
    </row>
    <row r="44" spans="1:10" x14ac:dyDescent="0.2">
      <c r="A44" s="2">
        <v>37</v>
      </c>
      <c r="B44" s="15"/>
      <c r="C44" s="15"/>
      <c r="D44" s="15"/>
      <c r="E44" s="2"/>
      <c r="F44" s="2"/>
      <c r="G44" s="2"/>
      <c r="H44" s="2"/>
      <c r="I44" s="2">
        <f t="shared" si="0"/>
        <v>0</v>
      </c>
      <c r="J44" s="15"/>
    </row>
    <row r="45" spans="1:10" x14ac:dyDescent="0.2">
      <c r="A45" s="2">
        <v>38</v>
      </c>
      <c r="B45" s="15"/>
      <c r="C45" s="15"/>
      <c r="D45" s="15"/>
      <c r="E45" s="2"/>
      <c r="F45" s="2"/>
      <c r="G45" s="2"/>
      <c r="H45" s="2"/>
      <c r="I45" s="2">
        <f t="shared" si="0"/>
        <v>0</v>
      </c>
      <c r="J45" s="15"/>
    </row>
    <row r="46" spans="1:10" x14ac:dyDescent="0.2">
      <c r="A46" s="2">
        <v>39</v>
      </c>
      <c r="B46" s="15"/>
      <c r="C46" s="15"/>
      <c r="D46" s="15"/>
      <c r="E46" s="2"/>
      <c r="F46" s="2"/>
      <c r="G46" s="2"/>
      <c r="H46" s="2"/>
      <c r="I46" s="2">
        <f t="shared" si="0"/>
        <v>0</v>
      </c>
      <c r="J46" s="15"/>
    </row>
    <row r="47" spans="1:10" x14ac:dyDescent="0.2">
      <c r="A47" s="2">
        <v>40</v>
      </c>
      <c r="B47" s="15"/>
      <c r="C47" s="15"/>
      <c r="D47" s="15"/>
      <c r="E47" s="2"/>
      <c r="F47" s="2"/>
      <c r="G47" s="2"/>
      <c r="H47" s="2"/>
      <c r="I47" s="2">
        <f t="shared" si="0"/>
        <v>0</v>
      </c>
      <c r="J47" s="15"/>
    </row>
    <row r="48" spans="1:10" x14ac:dyDescent="0.2">
      <c r="A48" s="2">
        <v>41</v>
      </c>
      <c r="B48" s="15"/>
      <c r="C48" s="15"/>
      <c r="D48" s="15"/>
      <c r="E48" s="2"/>
      <c r="F48" s="2"/>
      <c r="G48" s="2"/>
      <c r="H48" s="2"/>
      <c r="I48" s="2">
        <f t="shared" si="0"/>
        <v>0</v>
      </c>
      <c r="J48" s="15"/>
    </row>
    <row r="49" spans="1:10" x14ac:dyDescent="0.2">
      <c r="A49" s="2">
        <v>42</v>
      </c>
      <c r="B49" s="15"/>
      <c r="C49" s="15"/>
      <c r="D49" s="15"/>
      <c r="E49" s="2"/>
      <c r="F49" s="2"/>
      <c r="G49" s="2"/>
      <c r="H49" s="2"/>
      <c r="I49" s="2">
        <f t="shared" si="0"/>
        <v>0</v>
      </c>
      <c r="J49" s="15"/>
    </row>
    <row r="50" spans="1:10" x14ac:dyDescent="0.2">
      <c r="A50" s="2">
        <v>43</v>
      </c>
      <c r="B50" s="15"/>
      <c r="C50" s="15"/>
      <c r="D50" s="15"/>
      <c r="E50" s="2"/>
      <c r="F50" s="2"/>
      <c r="G50" s="2"/>
      <c r="H50" s="2"/>
      <c r="I50" s="2">
        <f t="shared" si="0"/>
        <v>0</v>
      </c>
      <c r="J50" s="15"/>
    </row>
    <row r="51" spans="1:10" x14ac:dyDescent="0.2">
      <c r="A51" s="2">
        <v>44</v>
      </c>
      <c r="B51" s="15"/>
      <c r="C51" s="15"/>
      <c r="D51" s="15"/>
      <c r="E51" s="2"/>
      <c r="F51" s="2"/>
      <c r="G51" s="2"/>
      <c r="H51" s="2"/>
      <c r="I51" s="2">
        <f t="shared" si="0"/>
        <v>0</v>
      </c>
      <c r="J51" s="15"/>
    </row>
    <row r="52" spans="1:10" x14ac:dyDescent="0.2">
      <c r="A52" s="2">
        <v>45</v>
      </c>
      <c r="B52" s="15"/>
      <c r="C52" s="15"/>
      <c r="D52" s="15"/>
      <c r="E52" s="2"/>
      <c r="F52" s="2"/>
      <c r="G52" s="2"/>
      <c r="H52" s="2"/>
      <c r="I52" s="2">
        <f t="shared" si="0"/>
        <v>0</v>
      </c>
      <c r="J52" s="15"/>
    </row>
    <row r="53" spans="1:10" x14ac:dyDescent="0.2">
      <c r="A53" s="2">
        <v>46</v>
      </c>
      <c r="B53" s="15"/>
      <c r="C53" s="15"/>
      <c r="D53" s="15"/>
      <c r="E53" s="2"/>
      <c r="F53" s="2"/>
      <c r="G53" s="2"/>
      <c r="H53" s="2"/>
      <c r="I53" s="2">
        <f t="shared" si="0"/>
        <v>0</v>
      </c>
      <c r="J53" s="15"/>
    </row>
    <row r="54" spans="1:10" x14ac:dyDescent="0.2">
      <c r="A54" s="2">
        <v>47</v>
      </c>
      <c r="B54" s="15"/>
      <c r="C54" s="15"/>
      <c r="D54" s="15"/>
      <c r="E54" s="2"/>
      <c r="F54" s="2"/>
      <c r="G54" s="2"/>
      <c r="H54" s="2"/>
      <c r="I54" s="2">
        <f t="shared" si="0"/>
        <v>0</v>
      </c>
      <c r="J54" s="15"/>
    </row>
    <row r="55" spans="1:10" x14ac:dyDescent="0.2">
      <c r="A55" s="2">
        <v>48</v>
      </c>
      <c r="B55" s="15"/>
      <c r="C55" s="15"/>
      <c r="D55" s="15"/>
      <c r="E55" s="2"/>
      <c r="F55" s="2"/>
      <c r="G55" s="2"/>
      <c r="H55" s="2"/>
      <c r="I55" s="2">
        <f t="shared" si="0"/>
        <v>0</v>
      </c>
      <c r="J55" s="15"/>
    </row>
    <row r="56" spans="1:10" x14ac:dyDescent="0.2">
      <c r="A56" s="2">
        <v>49</v>
      </c>
      <c r="B56" s="15"/>
      <c r="C56" s="15"/>
      <c r="D56" s="15"/>
      <c r="E56" s="2"/>
      <c r="F56" s="2"/>
      <c r="G56" s="2"/>
      <c r="H56" s="2"/>
      <c r="I56" s="2">
        <f t="shared" si="0"/>
        <v>0</v>
      </c>
      <c r="J56" s="15"/>
    </row>
    <row r="57" spans="1:10" x14ac:dyDescent="0.2">
      <c r="A57" s="2">
        <v>50</v>
      </c>
      <c r="B57" s="15"/>
      <c r="C57" s="15"/>
      <c r="D57" s="15"/>
      <c r="E57" s="2"/>
      <c r="F57" s="2"/>
      <c r="G57" s="2"/>
      <c r="H57" s="2"/>
      <c r="I57" s="2">
        <f t="shared" si="0"/>
        <v>0</v>
      </c>
      <c r="J57" s="15"/>
    </row>
  </sheetData>
  <autoFilter ref="A6:J6" xr:uid="{89595094-44C9-41C4-B214-D3EE89568D97}"/>
  <mergeCells count="3">
    <mergeCell ref="E2:F2"/>
    <mergeCell ref="E3:F3"/>
    <mergeCell ref="E5:H5"/>
  </mergeCells>
  <phoneticPr fontId="3" type="noConversion"/>
  <dataValidations count="1">
    <dataValidation type="whole" allowBlank="1" showInputMessage="1" showErrorMessage="1" promptTitle="solo se permite número enteros" sqref="E7:H57" xr:uid="{1FF4231D-FBB1-4E11-A18C-DD3B93AD863C}">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F05404A3-853F-4AE5-AA6B-A59BC209602E}">
          <x14:formula1>
            <xm:f>Sheet3!$D$2:$D$154</xm:f>
          </x14:formula1>
          <xm:sqref>D7:D16</xm:sqref>
        </x14:dataValidation>
        <x14:dataValidation type="list" allowBlank="1" showInputMessage="1" showErrorMessage="1" xr:uid="{524B33E4-37D6-4BAB-8D78-1E7F80E067AB}">
          <x14:formula1>
            <xm:f>Sheet2!#REF!</xm:f>
          </x14:formula1>
          <xm:sqref>D17:D55</xm:sqref>
        </x14:dataValidation>
        <x14:dataValidation type="list" allowBlank="1" showInputMessage="1" showErrorMessage="1" xr:uid="{2B047F6D-B07F-4152-AFDC-A60307989C48}">
          <x14:formula1>
            <xm:f>Sheet4!$B$3:$B$223</xm:f>
          </x14:formula1>
          <xm:sqref>J7:J55</xm:sqref>
        </x14:dataValidation>
        <x14:dataValidation type="list" allowBlank="1" showInputMessage="1" showErrorMessage="1" xr:uid="{EC583DD0-BF7E-4C4A-9FBC-7C28A985C294}">
          <x14:formula1>
            <xm:f>Sheet2!$A$2:$A$49</xm:f>
          </x14:formula1>
          <xm:sqref>B7:B55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DE17A-67D4-4AC8-B12A-1888B7A2CF7A}">
  <sheetPr codeName="Sheet23">
    <tabColor rgb="FF92D050"/>
  </sheetPr>
  <dimension ref="A1:J56"/>
  <sheetViews>
    <sheetView topLeftCell="B1" workbookViewId="0">
      <selection activeCell="D10" sqref="D10"/>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1" t="s">
        <v>0</v>
      </c>
      <c r="E2" s="31" t="s">
        <v>1</v>
      </c>
      <c r="F2" s="32"/>
    </row>
    <row r="3" spans="1:10" ht="15" thickBot="1" x14ac:dyDescent="0.25">
      <c r="D3" s="14" t="s">
        <v>2</v>
      </c>
      <c r="E3" s="29">
        <v>315</v>
      </c>
      <c r="F3" s="30"/>
    </row>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150</v>
      </c>
      <c r="C7" s="15" t="s">
        <v>294</v>
      </c>
      <c r="D7" s="15" t="s">
        <v>90</v>
      </c>
      <c r="E7" s="2">
        <v>48</v>
      </c>
      <c r="F7" s="2">
        <v>112</v>
      </c>
      <c r="G7" s="2">
        <v>80</v>
      </c>
      <c r="H7" s="2">
        <v>75</v>
      </c>
      <c r="I7" s="2">
        <f>SUM(E7:H7)</f>
        <v>315</v>
      </c>
      <c r="J7" s="15" t="s">
        <v>215</v>
      </c>
    </row>
    <row r="8" spans="1:10" ht="85.5" x14ac:dyDescent="0.2">
      <c r="A8" s="2">
        <v>2</v>
      </c>
      <c r="B8" s="15" t="s">
        <v>150</v>
      </c>
      <c r="C8" s="15" t="s">
        <v>295</v>
      </c>
      <c r="D8" s="15" t="s">
        <v>92</v>
      </c>
      <c r="E8" s="2">
        <v>48</v>
      </c>
      <c r="F8" s="2">
        <v>112</v>
      </c>
      <c r="G8" s="2">
        <v>80</v>
      </c>
      <c r="H8" s="2">
        <v>75</v>
      </c>
      <c r="I8" s="2">
        <f t="shared" ref="I8:I56" si="0">SUM(E8:H8)</f>
        <v>315</v>
      </c>
      <c r="J8" s="15" t="s">
        <v>215</v>
      </c>
    </row>
    <row r="9" spans="1:10" ht="85.5" x14ac:dyDescent="0.2">
      <c r="A9" s="2">
        <v>3</v>
      </c>
      <c r="B9" s="15" t="s">
        <v>150</v>
      </c>
      <c r="C9" s="15" t="s">
        <v>295</v>
      </c>
      <c r="D9" s="15" t="s">
        <v>154</v>
      </c>
      <c r="E9" s="2">
        <v>52</v>
      </c>
      <c r="F9" s="2">
        <v>109</v>
      </c>
      <c r="G9" s="2">
        <v>75</v>
      </c>
      <c r="H9" s="2">
        <v>64</v>
      </c>
      <c r="I9" s="2">
        <f t="shared" si="0"/>
        <v>300</v>
      </c>
      <c r="J9" s="15" t="s">
        <v>215</v>
      </c>
    </row>
    <row r="10" spans="1:10" ht="85.5" x14ac:dyDescent="0.2">
      <c r="A10" s="2">
        <v>4</v>
      </c>
      <c r="B10" s="15" t="s">
        <v>150</v>
      </c>
      <c r="C10" s="15" t="s">
        <v>296</v>
      </c>
      <c r="D10" s="15" t="s">
        <v>297</v>
      </c>
      <c r="E10" s="2">
        <v>20</v>
      </c>
      <c r="F10" s="2">
        <v>27</v>
      </c>
      <c r="G10" s="2">
        <v>28</v>
      </c>
      <c r="H10" s="2">
        <v>25</v>
      </c>
      <c r="I10" s="2">
        <f t="shared" si="0"/>
        <v>100</v>
      </c>
      <c r="J10" s="15" t="s">
        <v>215</v>
      </c>
    </row>
    <row r="11" spans="1:10" ht="85.5" x14ac:dyDescent="0.2">
      <c r="A11" s="2">
        <v>5</v>
      </c>
      <c r="B11" s="15" t="s">
        <v>150</v>
      </c>
      <c r="C11" s="15" t="s">
        <v>296</v>
      </c>
      <c r="D11" s="15" t="s">
        <v>298</v>
      </c>
      <c r="E11" s="2">
        <v>65</v>
      </c>
      <c r="F11" s="2">
        <v>90</v>
      </c>
      <c r="G11" s="2">
        <v>75</v>
      </c>
      <c r="H11" s="2">
        <v>70</v>
      </c>
      <c r="I11" s="2">
        <f t="shared" si="0"/>
        <v>300</v>
      </c>
      <c r="J11" s="15" t="s">
        <v>215</v>
      </c>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sheetData>
  <autoFilter ref="A6:J6" xr:uid="{306DE17A-67D4-4AC8-B12A-1888B7A2CF7A}"/>
  <mergeCells count="3">
    <mergeCell ref="E2:F2"/>
    <mergeCell ref="E3:F3"/>
    <mergeCell ref="E5:H5"/>
  </mergeCells>
  <dataValidations count="1">
    <dataValidation type="whole" allowBlank="1" showInputMessage="1" showErrorMessage="1" promptTitle="solo se permite número enteros" sqref="E7:H56" xr:uid="{D746C100-FEAD-4CA3-A9FE-27750EED217A}">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68F8C07F-FCE6-48B0-9DA9-9C4992E0A0F8}">
          <x14:formula1>
            <xm:f>Sheet3!$D$2:$D$154</xm:f>
          </x14:formula1>
          <xm:sqref>D7</xm:sqref>
        </x14:dataValidation>
        <x14:dataValidation type="list" allowBlank="1" showInputMessage="1" showErrorMessage="1" xr:uid="{63DC2F26-7893-4BC6-A953-9B87E68756BE}">
          <x14:formula1>
            <xm:f>Sheet2!#REF!</xm:f>
          </x14:formula1>
          <xm:sqref>D8:D54</xm:sqref>
        </x14:dataValidation>
        <x14:dataValidation type="list" allowBlank="1" showInputMessage="1" showErrorMessage="1" xr:uid="{C2781C78-39D0-46D2-958D-9AE9210D43AA}">
          <x14:formula1>
            <xm:f>Sheet4!$B$3:$B$223</xm:f>
          </x14:formula1>
          <xm:sqref>J7:J54</xm:sqref>
        </x14:dataValidation>
        <x14:dataValidation type="list" allowBlank="1" showInputMessage="1" showErrorMessage="1" xr:uid="{F1BC16C4-5A09-428D-9A40-04ED9507E4E2}">
          <x14:formula1>
            <xm:f>Sheet2!$A$2:$A$49</xm:f>
          </x14:formula1>
          <xm:sqref>B7:B54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9585-E54A-4296-A430-5D6F03AD85AA}">
  <sheetPr codeName="Sheet22">
    <tabColor rgb="FF92D050"/>
  </sheetPr>
  <dimension ref="A1:J59"/>
  <sheetViews>
    <sheetView topLeftCell="B1" zoomScale="85" zoomScaleNormal="85" workbookViewId="0">
      <selection activeCell="D14" sqref="D14"/>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1" t="s">
        <v>0</v>
      </c>
      <c r="E2" s="31" t="s">
        <v>1</v>
      </c>
      <c r="F2" s="32"/>
    </row>
    <row r="3" spans="1:10" ht="15" thickBot="1" x14ac:dyDescent="0.25">
      <c r="D3" s="14" t="s">
        <v>2</v>
      </c>
      <c r="E3" s="29">
        <v>895</v>
      </c>
      <c r="F3" s="30"/>
    </row>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141</v>
      </c>
      <c r="C7" s="15" t="s">
        <v>299</v>
      </c>
      <c r="D7" s="15" t="s">
        <v>80</v>
      </c>
      <c r="E7" s="2">
        <v>60</v>
      </c>
      <c r="F7" s="2">
        <v>60</v>
      </c>
      <c r="G7" s="2">
        <v>61</v>
      </c>
      <c r="H7" s="2">
        <v>61</v>
      </c>
      <c r="I7" s="2">
        <f>SUM(E7:H7)</f>
        <v>242</v>
      </c>
      <c r="J7" s="15" t="s">
        <v>215</v>
      </c>
    </row>
    <row r="8" spans="1:10" ht="71.25" x14ac:dyDescent="0.2">
      <c r="A8" s="2">
        <v>2</v>
      </c>
      <c r="B8" s="15" t="s">
        <v>78</v>
      </c>
      <c r="C8" s="15" t="s">
        <v>300</v>
      </c>
      <c r="D8" s="15" t="s">
        <v>301</v>
      </c>
      <c r="E8" s="2">
        <v>2</v>
      </c>
      <c r="F8" s="2">
        <v>2</v>
      </c>
      <c r="G8" s="2">
        <v>1</v>
      </c>
      <c r="H8" s="2"/>
      <c r="I8" s="2">
        <f t="shared" ref="I8:I59" si="0">SUM(E8:H8)</f>
        <v>5</v>
      </c>
      <c r="J8" s="15" t="s">
        <v>215</v>
      </c>
    </row>
    <row r="9" spans="1:10" ht="57" x14ac:dyDescent="0.2">
      <c r="A9" s="2">
        <v>3</v>
      </c>
      <c r="B9" s="15" t="s">
        <v>50</v>
      </c>
      <c r="C9" s="15" t="s">
        <v>226</v>
      </c>
      <c r="D9" s="15" t="s">
        <v>281</v>
      </c>
      <c r="E9" s="2"/>
      <c r="F9" s="2">
        <v>19</v>
      </c>
      <c r="G9" s="2">
        <v>20</v>
      </c>
      <c r="H9" s="2">
        <v>14</v>
      </c>
      <c r="I9" s="2">
        <f t="shared" si="0"/>
        <v>53</v>
      </c>
      <c r="J9" s="15" t="s">
        <v>215</v>
      </c>
    </row>
    <row r="10" spans="1:10" ht="57" x14ac:dyDescent="0.2">
      <c r="A10" s="2">
        <v>4</v>
      </c>
      <c r="B10" s="22" t="s">
        <v>50</v>
      </c>
      <c r="C10" s="22" t="s">
        <v>302</v>
      </c>
      <c r="D10" s="22" t="s">
        <v>171</v>
      </c>
      <c r="E10" s="25"/>
      <c r="F10" s="25">
        <v>19</v>
      </c>
      <c r="G10" s="25">
        <v>20</v>
      </c>
      <c r="H10" s="25">
        <v>14</v>
      </c>
      <c r="I10" s="25">
        <f t="shared" si="0"/>
        <v>53</v>
      </c>
      <c r="J10" s="22" t="s">
        <v>215</v>
      </c>
    </row>
    <row r="11" spans="1:10" ht="57" x14ac:dyDescent="0.2">
      <c r="A11" s="2">
        <v>5</v>
      </c>
      <c r="B11" s="22" t="s">
        <v>50</v>
      </c>
      <c r="C11" s="22" t="s">
        <v>302</v>
      </c>
      <c r="D11" s="22" t="s">
        <v>173</v>
      </c>
      <c r="E11" s="25"/>
      <c r="F11" s="25">
        <v>19</v>
      </c>
      <c r="G11" s="25">
        <v>20</v>
      </c>
      <c r="H11" s="25">
        <v>14</v>
      </c>
      <c r="I11" s="25">
        <f t="shared" si="0"/>
        <v>53</v>
      </c>
      <c r="J11" s="22" t="s">
        <v>215</v>
      </c>
    </row>
    <row r="12" spans="1:10" ht="57" x14ac:dyDescent="0.2">
      <c r="A12" s="2">
        <v>6</v>
      </c>
      <c r="B12" s="22" t="s">
        <v>50</v>
      </c>
      <c r="C12" s="22" t="s">
        <v>302</v>
      </c>
      <c r="D12" s="22" t="s">
        <v>175</v>
      </c>
      <c r="E12" s="25"/>
      <c r="F12" s="25">
        <v>19</v>
      </c>
      <c r="G12" s="25">
        <v>20</v>
      </c>
      <c r="H12" s="25">
        <v>14</v>
      </c>
      <c r="I12" s="25">
        <f t="shared" si="0"/>
        <v>53</v>
      </c>
      <c r="J12" s="22" t="s">
        <v>215</v>
      </c>
    </row>
    <row r="13" spans="1:10" ht="71.25" x14ac:dyDescent="0.2">
      <c r="A13" s="2">
        <v>7</v>
      </c>
      <c r="B13" s="15" t="s">
        <v>196</v>
      </c>
      <c r="C13" s="15" t="s">
        <v>303</v>
      </c>
      <c r="D13" s="15" t="s">
        <v>75</v>
      </c>
      <c r="E13" s="2">
        <v>3</v>
      </c>
      <c r="F13" s="2">
        <v>2</v>
      </c>
      <c r="G13" s="2"/>
      <c r="H13" s="2"/>
      <c r="I13" s="2">
        <f t="shared" si="0"/>
        <v>5</v>
      </c>
      <c r="J13" s="15" t="s">
        <v>304</v>
      </c>
    </row>
    <row r="14" spans="1:10" ht="71.25" x14ac:dyDescent="0.2">
      <c r="A14" s="2">
        <v>8</v>
      </c>
      <c r="B14" s="15" t="s">
        <v>196</v>
      </c>
      <c r="C14" s="15" t="s">
        <v>305</v>
      </c>
      <c r="D14" s="15" t="s">
        <v>87</v>
      </c>
      <c r="E14" s="2"/>
      <c r="F14" s="2">
        <v>243</v>
      </c>
      <c r="G14" s="2">
        <v>241</v>
      </c>
      <c r="H14" s="2">
        <v>116</v>
      </c>
      <c r="I14" s="2">
        <f t="shared" si="0"/>
        <v>600</v>
      </c>
      <c r="J14" s="15" t="s">
        <v>306</v>
      </c>
    </row>
    <row r="15" spans="1:10" ht="71.25" x14ac:dyDescent="0.2">
      <c r="A15" s="2">
        <v>9</v>
      </c>
      <c r="B15" s="15" t="s">
        <v>196</v>
      </c>
      <c r="C15" s="15" t="s">
        <v>307</v>
      </c>
      <c r="D15" s="15" t="s">
        <v>239</v>
      </c>
      <c r="E15" s="2">
        <v>60</v>
      </c>
      <c r="F15" s="2">
        <v>40</v>
      </c>
      <c r="G15" s="2"/>
      <c r="H15" s="2"/>
      <c r="I15" s="2">
        <f t="shared" si="0"/>
        <v>100</v>
      </c>
      <c r="J15" s="15" t="s">
        <v>308</v>
      </c>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si="0"/>
        <v>0</v>
      </c>
      <c r="J41" s="15"/>
    </row>
    <row r="42" spans="1:10" x14ac:dyDescent="0.2">
      <c r="A42" s="2">
        <v>36</v>
      </c>
      <c r="B42" s="15"/>
      <c r="C42" s="15"/>
      <c r="D42" s="15"/>
      <c r="E42" s="2"/>
      <c r="F42" s="2"/>
      <c r="G42" s="2"/>
      <c r="H42" s="2"/>
      <c r="I42" s="2">
        <f t="shared" si="0"/>
        <v>0</v>
      </c>
      <c r="J42" s="15"/>
    </row>
    <row r="43" spans="1:10" x14ac:dyDescent="0.2">
      <c r="A43" s="2">
        <v>37</v>
      </c>
      <c r="B43" s="15"/>
      <c r="C43" s="15"/>
      <c r="D43" s="15"/>
      <c r="E43" s="2"/>
      <c r="F43" s="2"/>
      <c r="G43" s="2"/>
      <c r="H43" s="2"/>
      <c r="I43" s="2">
        <f t="shared" si="0"/>
        <v>0</v>
      </c>
      <c r="J43" s="15"/>
    </row>
    <row r="44" spans="1:10" x14ac:dyDescent="0.2">
      <c r="A44" s="2">
        <v>38</v>
      </c>
      <c r="B44" s="15"/>
      <c r="C44" s="15"/>
      <c r="D44" s="15"/>
      <c r="E44" s="2"/>
      <c r="F44" s="2"/>
      <c r="G44" s="2"/>
      <c r="H44" s="2"/>
      <c r="I44" s="2">
        <f t="shared" si="0"/>
        <v>0</v>
      </c>
      <c r="J44" s="15"/>
    </row>
    <row r="45" spans="1:10" x14ac:dyDescent="0.2">
      <c r="A45" s="2">
        <v>39</v>
      </c>
      <c r="B45" s="15"/>
      <c r="C45" s="15"/>
      <c r="D45" s="15"/>
      <c r="E45" s="2"/>
      <c r="F45" s="2"/>
      <c r="G45" s="2"/>
      <c r="H45" s="2"/>
      <c r="I45" s="2">
        <f t="shared" si="0"/>
        <v>0</v>
      </c>
      <c r="J45" s="15"/>
    </row>
    <row r="46" spans="1:10" x14ac:dyDescent="0.2">
      <c r="A46" s="2">
        <v>40</v>
      </c>
      <c r="B46" s="15"/>
      <c r="C46" s="15"/>
      <c r="D46" s="15"/>
      <c r="E46" s="2"/>
      <c r="F46" s="2"/>
      <c r="G46" s="2"/>
      <c r="H46" s="2"/>
      <c r="I46" s="2">
        <f t="shared" si="0"/>
        <v>0</v>
      </c>
      <c r="J46" s="15"/>
    </row>
    <row r="47" spans="1:10" x14ac:dyDescent="0.2">
      <c r="A47" s="2">
        <v>41</v>
      </c>
      <c r="B47" s="15"/>
      <c r="C47" s="15"/>
      <c r="D47" s="15"/>
      <c r="E47" s="2"/>
      <c r="F47" s="2"/>
      <c r="G47" s="2"/>
      <c r="H47" s="2"/>
      <c r="I47" s="2">
        <f t="shared" si="0"/>
        <v>0</v>
      </c>
      <c r="J47" s="15"/>
    </row>
    <row r="48" spans="1:10" x14ac:dyDescent="0.2">
      <c r="A48" s="2">
        <v>42</v>
      </c>
      <c r="B48" s="15"/>
      <c r="C48" s="15"/>
      <c r="D48" s="15"/>
      <c r="E48" s="2"/>
      <c r="F48" s="2"/>
      <c r="G48" s="2"/>
      <c r="H48" s="2"/>
      <c r="I48" s="2">
        <f t="shared" si="0"/>
        <v>0</v>
      </c>
      <c r="J48" s="15"/>
    </row>
    <row r="49" spans="1:10" x14ac:dyDescent="0.2">
      <c r="A49" s="2">
        <v>43</v>
      </c>
      <c r="B49" s="15"/>
      <c r="C49" s="15"/>
      <c r="D49" s="15"/>
      <c r="E49" s="2"/>
      <c r="F49" s="2"/>
      <c r="G49" s="2"/>
      <c r="H49" s="2"/>
      <c r="I49" s="2">
        <f t="shared" si="0"/>
        <v>0</v>
      </c>
      <c r="J49" s="15"/>
    </row>
    <row r="50" spans="1:10" x14ac:dyDescent="0.2">
      <c r="A50" s="2">
        <v>44</v>
      </c>
      <c r="B50" s="15"/>
      <c r="C50" s="15"/>
      <c r="D50" s="15"/>
      <c r="E50" s="2"/>
      <c r="F50" s="2"/>
      <c r="G50" s="2"/>
      <c r="H50" s="2"/>
      <c r="I50" s="2">
        <f t="shared" si="0"/>
        <v>0</v>
      </c>
      <c r="J50" s="15"/>
    </row>
    <row r="51" spans="1:10" x14ac:dyDescent="0.2">
      <c r="A51" s="2">
        <v>45</v>
      </c>
      <c r="B51" s="15"/>
      <c r="C51" s="15"/>
      <c r="D51" s="15"/>
      <c r="E51" s="2"/>
      <c r="F51" s="2"/>
      <c r="G51" s="2"/>
      <c r="H51" s="2"/>
      <c r="I51" s="2">
        <f t="shared" si="0"/>
        <v>0</v>
      </c>
      <c r="J51" s="15"/>
    </row>
    <row r="52" spans="1:10" x14ac:dyDescent="0.2">
      <c r="A52" s="2">
        <v>46</v>
      </c>
      <c r="B52" s="15"/>
      <c r="C52" s="15"/>
      <c r="D52" s="15"/>
      <c r="E52" s="2"/>
      <c r="F52" s="2"/>
      <c r="G52" s="2"/>
      <c r="H52" s="2"/>
      <c r="I52" s="2">
        <f t="shared" si="0"/>
        <v>0</v>
      </c>
      <c r="J52" s="15"/>
    </row>
    <row r="53" spans="1:10" x14ac:dyDescent="0.2">
      <c r="A53" s="2">
        <v>47</v>
      </c>
      <c r="B53" s="15"/>
      <c r="C53" s="15"/>
      <c r="D53" s="15"/>
      <c r="E53" s="2"/>
      <c r="F53" s="2"/>
      <c r="G53" s="2"/>
      <c r="H53" s="2"/>
      <c r="I53" s="2">
        <f t="shared" si="0"/>
        <v>0</v>
      </c>
      <c r="J53" s="15"/>
    </row>
    <row r="54" spans="1:10" x14ac:dyDescent="0.2">
      <c r="A54" s="2">
        <v>48</v>
      </c>
      <c r="B54" s="15"/>
      <c r="C54" s="15"/>
      <c r="D54" s="15"/>
      <c r="E54" s="2"/>
      <c r="F54" s="2"/>
      <c r="G54" s="2"/>
      <c r="H54" s="2"/>
      <c r="I54" s="2">
        <f t="shared" si="0"/>
        <v>0</v>
      </c>
      <c r="J54" s="15"/>
    </row>
    <row r="55" spans="1:10" x14ac:dyDescent="0.2">
      <c r="A55" s="2">
        <v>49</v>
      </c>
      <c r="B55" s="15"/>
      <c r="C55" s="15"/>
      <c r="D55" s="15"/>
      <c r="E55" s="2"/>
      <c r="F55" s="2"/>
      <c r="G55" s="2"/>
      <c r="H55" s="2"/>
      <c r="I55" s="2">
        <f t="shared" si="0"/>
        <v>0</v>
      </c>
      <c r="J55" s="15"/>
    </row>
    <row r="56" spans="1:10" x14ac:dyDescent="0.2">
      <c r="A56" s="2">
        <v>50</v>
      </c>
      <c r="B56" s="15"/>
      <c r="C56" s="15"/>
      <c r="D56" s="15"/>
      <c r="E56" s="2"/>
      <c r="F56" s="2"/>
      <c r="G56" s="2"/>
      <c r="H56" s="2"/>
      <c r="I56" s="2">
        <f t="shared" si="0"/>
        <v>0</v>
      </c>
      <c r="J56" s="15"/>
    </row>
    <row r="57" spans="1:10" x14ac:dyDescent="0.2">
      <c r="A57" s="2">
        <v>51</v>
      </c>
      <c r="B57" s="15"/>
      <c r="C57" s="15"/>
      <c r="D57" s="15"/>
      <c r="E57" s="2"/>
      <c r="F57" s="2"/>
      <c r="G57" s="2"/>
      <c r="H57" s="2"/>
      <c r="I57" s="2">
        <f t="shared" si="0"/>
        <v>0</v>
      </c>
      <c r="J57" s="15"/>
    </row>
    <row r="58" spans="1:10" x14ac:dyDescent="0.2">
      <c r="A58" s="2">
        <v>52</v>
      </c>
      <c r="B58" s="15"/>
      <c r="C58" s="15"/>
      <c r="D58" s="15"/>
      <c r="E58" s="2"/>
      <c r="F58" s="2"/>
      <c r="G58" s="2"/>
      <c r="H58" s="2"/>
      <c r="I58" s="2">
        <f t="shared" si="0"/>
        <v>0</v>
      </c>
      <c r="J58" s="15"/>
    </row>
    <row r="59" spans="1:10" x14ac:dyDescent="0.2">
      <c r="A59" s="2">
        <v>53</v>
      </c>
      <c r="B59" s="15"/>
      <c r="C59" s="15"/>
      <c r="D59" s="15"/>
      <c r="E59" s="2"/>
      <c r="F59" s="2"/>
      <c r="G59" s="2"/>
      <c r="H59" s="2"/>
      <c r="I59" s="2">
        <f t="shared" si="0"/>
        <v>0</v>
      </c>
      <c r="J59" s="15"/>
    </row>
  </sheetData>
  <autoFilter ref="A6:J6" xr:uid="{DF7F9585-E54A-4296-A430-5D6F03AD85AA}"/>
  <mergeCells count="3">
    <mergeCell ref="E2:F2"/>
    <mergeCell ref="E3:F3"/>
    <mergeCell ref="E5:H5"/>
  </mergeCells>
  <dataValidations count="1">
    <dataValidation type="whole" allowBlank="1" showInputMessage="1" showErrorMessage="1" promptTitle="solo se permite número enteros" sqref="E7:H59" xr:uid="{BD80D868-BF1A-40FD-BC4C-14BDA31FA1E1}">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66B531DA-2B75-473E-8098-DB175248818E}">
          <x14:formula1>
            <xm:f>Sheet3!$D$2:$D$154</xm:f>
          </x14:formula1>
          <xm:sqref>D7 D10:D12</xm:sqref>
        </x14:dataValidation>
        <x14:dataValidation type="list" allowBlank="1" showInputMessage="1" showErrorMessage="1" xr:uid="{EC6C13C1-8929-4E32-B7A7-C7352D6354A6}">
          <x14:formula1>
            <xm:f>Sheet2!#REF!</xm:f>
          </x14:formula1>
          <xm:sqref>D8:D9 D13:D57</xm:sqref>
        </x14:dataValidation>
        <x14:dataValidation type="list" allowBlank="1" showInputMessage="1" showErrorMessage="1" xr:uid="{7CC1FF75-D563-43C6-B0E1-E915BE8B26E1}">
          <x14:formula1>
            <xm:f>Sheet4!$B$3:$B$223</xm:f>
          </x14:formula1>
          <xm:sqref>J7:J57</xm:sqref>
        </x14:dataValidation>
        <x14:dataValidation type="list" allowBlank="1" showInputMessage="1" showErrorMessage="1" xr:uid="{82AE2E09-5EB9-4C64-9112-C31F9D0A5F15}">
          <x14:formula1>
            <xm:f>Sheet2!$A$2:$A$49</xm:f>
          </x14:formula1>
          <xm:sqref>B7:B57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2685-1E99-4B12-A25A-7F3B12E4E336}">
  <sheetPr codeName="Sheet24">
    <tabColor rgb="FF92D050"/>
  </sheetPr>
  <dimension ref="A1:J53"/>
  <sheetViews>
    <sheetView zoomScale="70" zoomScaleNormal="70" workbookViewId="0">
      <selection activeCell="A11" sqref="A11:XFD12"/>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col min="10" max="10" width="47.625" style="13" customWidth="1"/>
    <col min="11" max="16384" width="9" style="5"/>
  </cols>
  <sheetData>
    <row r="1" spans="1:10" ht="15" thickBot="1" x14ac:dyDescent="0.25"/>
    <row r="2" spans="1:10" x14ac:dyDescent="0.2">
      <c r="D2" s="21" t="s">
        <v>0</v>
      </c>
      <c r="E2" s="31" t="s">
        <v>1</v>
      </c>
      <c r="F2" s="32"/>
    </row>
    <row r="3" spans="1:10" ht="15" thickBot="1" x14ac:dyDescent="0.25">
      <c r="D3" s="14" t="s">
        <v>2</v>
      </c>
      <c r="E3" s="29">
        <v>275</v>
      </c>
      <c r="F3" s="30"/>
    </row>
    <row r="4" spans="1:10" ht="15" thickBot="1" x14ac:dyDescent="0.25"/>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114" x14ac:dyDescent="0.2">
      <c r="A7" s="2">
        <v>1</v>
      </c>
      <c r="B7" s="15" t="s">
        <v>50</v>
      </c>
      <c r="C7" s="15" t="s">
        <v>309</v>
      </c>
      <c r="D7" s="22" t="s">
        <v>310</v>
      </c>
      <c r="E7" s="2"/>
      <c r="F7" s="2"/>
      <c r="G7" s="2">
        <v>30</v>
      </c>
      <c r="H7" s="2">
        <v>40</v>
      </c>
      <c r="I7" s="2">
        <f>SUM(E7:H7)</f>
        <v>70</v>
      </c>
      <c r="J7" s="15" t="s">
        <v>311</v>
      </c>
    </row>
    <row r="8" spans="1:10" ht="114" x14ac:dyDescent="0.2">
      <c r="A8" s="2">
        <v>2</v>
      </c>
      <c r="B8" s="15" t="s">
        <v>50</v>
      </c>
      <c r="C8" s="15" t="s">
        <v>312</v>
      </c>
      <c r="D8" s="15" t="s">
        <v>313</v>
      </c>
      <c r="E8" s="2"/>
      <c r="F8" s="2"/>
      <c r="G8" s="2">
        <v>30</v>
      </c>
      <c r="H8" s="2"/>
      <c r="I8" s="2">
        <f t="shared" ref="I8:I53" si="0">SUM(E8:H8)</f>
        <v>30</v>
      </c>
      <c r="J8" s="15" t="s">
        <v>311</v>
      </c>
    </row>
    <row r="9" spans="1:10" ht="128.25" x14ac:dyDescent="0.2">
      <c r="A9" s="2">
        <v>4</v>
      </c>
      <c r="B9" s="15" t="s">
        <v>50</v>
      </c>
      <c r="C9" s="15" t="s">
        <v>314</v>
      </c>
      <c r="D9" s="15" t="s">
        <v>161</v>
      </c>
      <c r="E9" s="2"/>
      <c r="F9" s="2">
        <v>30</v>
      </c>
      <c r="G9" s="2"/>
      <c r="H9" s="2">
        <v>30</v>
      </c>
      <c r="I9" s="2">
        <f t="shared" si="0"/>
        <v>60</v>
      </c>
      <c r="J9" s="15" t="s">
        <v>311</v>
      </c>
    </row>
    <row r="10" spans="1:10" ht="114" x14ac:dyDescent="0.2">
      <c r="A10" s="2">
        <v>5</v>
      </c>
      <c r="B10" s="15" t="s">
        <v>50</v>
      </c>
      <c r="C10" s="15" t="s">
        <v>315</v>
      </c>
      <c r="D10" s="22" t="s">
        <v>281</v>
      </c>
      <c r="E10" s="2"/>
      <c r="F10" s="2">
        <v>20</v>
      </c>
      <c r="G10" s="2"/>
      <c r="H10" s="2">
        <v>120</v>
      </c>
      <c r="I10" s="2">
        <f t="shared" si="0"/>
        <v>140</v>
      </c>
      <c r="J10" s="15" t="s">
        <v>311</v>
      </c>
    </row>
    <row r="11" spans="1:10" ht="71.25" x14ac:dyDescent="0.2">
      <c r="A11" s="2">
        <v>8</v>
      </c>
      <c r="B11" s="15" t="s">
        <v>50</v>
      </c>
      <c r="C11" s="15" t="s">
        <v>316</v>
      </c>
      <c r="D11" s="15" t="s">
        <v>60</v>
      </c>
      <c r="E11" s="2"/>
      <c r="F11" s="2">
        <v>37</v>
      </c>
      <c r="G11" s="2"/>
      <c r="H11" s="2">
        <v>38</v>
      </c>
      <c r="I11" s="2">
        <f t="shared" si="0"/>
        <v>75</v>
      </c>
      <c r="J11" s="15" t="s">
        <v>311</v>
      </c>
    </row>
    <row r="12" spans="1:10" x14ac:dyDescent="0.2">
      <c r="A12" s="2">
        <v>9</v>
      </c>
      <c r="B12" s="15"/>
      <c r="C12" s="15"/>
      <c r="D12" s="15"/>
      <c r="E12" s="2"/>
      <c r="F12" s="2"/>
      <c r="G12" s="2"/>
      <c r="H12" s="2"/>
      <c r="I12" s="2">
        <f t="shared" si="0"/>
        <v>0</v>
      </c>
      <c r="J12" s="15"/>
    </row>
    <row r="13" spans="1:10" x14ac:dyDescent="0.2">
      <c r="A13" s="2">
        <v>10</v>
      </c>
      <c r="B13" s="15"/>
      <c r="C13" s="15"/>
      <c r="D13" s="15"/>
      <c r="E13" s="2"/>
      <c r="F13" s="2"/>
      <c r="G13" s="2"/>
      <c r="H13" s="2"/>
      <c r="I13" s="2">
        <f t="shared" si="0"/>
        <v>0</v>
      </c>
      <c r="J13" s="15"/>
    </row>
    <row r="14" spans="1:10" x14ac:dyDescent="0.2">
      <c r="A14" s="2">
        <v>11</v>
      </c>
      <c r="B14" s="15"/>
      <c r="C14" s="15"/>
      <c r="D14" s="15"/>
      <c r="E14" s="2"/>
      <c r="F14" s="2"/>
      <c r="G14" s="2"/>
      <c r="H14" s="2"/>
      <c r="I14" s="2">
        <f t="shared" si="0"/>
        <v>0</v>
      </c>
      <c r="J14" s="15"/>
    </row>
    <row r="15" spans="1:10" x14ac:dyDescent="0.2">
      <c r="A15" s="2">
        <v>12</v>
      </c>
      <c r="B15" s="15"/>
      <c r="C15" s="15"/>
      <c r="D15" s="15"/>
      <c r="E15" s="2"/>
      <c r="F15" s="2"/>
      <c r="G15" s="2"/>
      <c r="H15" s="2"/>
      <c r="I15" s="2">
        <f t="shared" si="0"/>
        <v>0</v>
      </c>
      <c r="J15" s="15"/>
    </row>
    <row r="16" spans="1:10" x14ac:dyDescent="0.2">
      <c r="A16" s="2">
        <v>13</v>
      </c>
      <c r="B16" s="15"/>
      <c r="C16" s="15"/>
      <c r="D16" s="15"/>
      <c r="E16" s="2"/>
      <c r="F16" s="2"/>
      <c r="G16" s="2"/>
      <c r="H16" s="2"/>
      <c r="I16" s="2">
        <f t="shared" si="0"/>
        <v>0</v>
      </c>
      <c r="J16" s="15"/>
    </row>
    <row r="17" spans="1:10" x14ac:dyDescent="0.2">
      <c r="A17" s="2">
        <v>14</v>
      </c>
      <c r="B17" s="15"/>
      <c r="C17" s="15"/>
      <c r="D17" s="15"/>
      <c r="E17" s="2"/>
      <c r="F17" s="2"/>
      <c r="G17" s="2"/>
      <c r="H17" s="2"/>
      <c r="I17" s="2">
        <f t="shared" si="0"/>
        <v>0</v>
      </c>
      <c r="J17" s="15"/>
    </row>
    <row r="18" spans="1:10" x14ac:dyDescent="0.2">
      <c r="A18" s="2">
        <v>15</v>
      </c>
      <c r="B18" s="15"/>
      <c r="C18" s="15"/>
      <c r="D18" s="15"/>
      <c r="E18" s="2"/>
      <c r="F18" s="2"/>
      <c r="G18" s="2"/>
      <c r="H18" s="2"/>
      <c r="I18" s="2">
        <f t="shared" si="0"/>
        <v>0</v>
      </c>
      <c r="J18" s="15"/>
    </row>
    <row r="19" spans="1:10" x14ac:dyDescent="0.2">
      <c r="A19" s="2">
        <v>16</v>
      </c>
      <c r="B19" s="15"/>
      <c r="C19" s="15"/>
      <c r="D19" s="15"/>
      <c r="E19" s="2"/>
      <c r="F19" s="2"/>
      <c r="G19" s="2"/>
      <c r="H19" s="2"/>
      <c r="I19" s="2">
        <f t="shared" si="0"/>
        <v>0</v>
      </c>
      <c r="J19" s="15"/>
    </row>
    <row r="20" spans="1:10" x14ac:dyDescent="0.2">
      <c r="A20" s="2">
        <v>17</v>
      </c>
      <c r="B20" s="15"/>
      <c r="C20" s="15"/>
      <c r="D20" s="15"/>
      <c r="E20" s="2"/>
      <c r="F20" s="2"/>
      <c r="G20" s="2"/>
      <c r="H20" s="2"/>
      <c r="I20" s="2">
        <f t="shared" si="0"/>
        <v>0</v>
      </c>
      <c r="J20" s="15"/>
    </row>
    <row r="21" spans="1:10" x14ac:dyDescent="0.2">
      <c r="A21" s="2">
        <v>18</v>
      </c>
      <c r="B21" s="15"/>
      <c r="C21" s="15"/>
      <c r="D21" s="15"/>
      <c r="E21" s="2"/>
      <c r="F21" s="2"/>
      <c r="G21" s="2"/>
      <c r="H21" s="2"/>
      <c r="I21" s="2">
        <f t="shared" si="0"/>
        <v>0</v>
      </c>
      <c r="J21" s="15"/>
    </row>
    <row r="22" spans="1:10" x14ac:dyDescent="0.2">
      <c r="A22" s="2">
        <v>19</v>
      </c>
      <c r="B22" s="15"/>
      <c r="C22" s="15"/>
      <c r="D22" s="15"/>
      <c r="E22" s="2"/>
      <c r="F22" s="2"/>
      <c r="G22" s="2"/>
      <c r="H22" s="2"/>
      <c r="I22" s="2">
        <f t="shared" si="0"/>
        <v>0</v>
      </c>
      <c r="J22" s="15"/>
    </row>
    <row r="23" spans="1:10" x14ac:dyDescent="0.2">
      <c r="A23" s="2">
        <v>20</v>
      </c>
      <c r="B23" s="15"/>
      <c r="C23" s="15"/>
      <c r="D23" s="15"/>
      <c r="E23" s="2"/>
      <c r="F23" s="2"/>
      <c r="G23" s="2"/>
      <c r="H23" s="2"/>
      <c r="I23" s="2">
        <f t="shared" si="0"/>
        <v>0</v>
      </c>
      <c r="J23" s="15"/>
    </row>
    <row r="24" spans="1:10" x14ac:dyDescent="0.2">
      <c r="A24" s="2">
        <v>21</v>
      </c>
      <c r="B24" s="15"/>
      <c r="C24" s="15"/>
      <c r="D24" s="15"/>
      <c r="E24" s="2"/>
      <c r="F24" s="2"/>
      <c r="G24" s="2"/>
      <c r="H24" s="2"/>
      <c r="I24" s="2">
        <f t="shared" si="0"/>
        <v>0</v>
      </c>
      <c r="J24" s="15"/>
    </row>
    <row r="25" spans="1:10" x14ac:dyDescent="0.2">
      <c r="A25" s="2">
        <v>22</v>
      </c>
      <c r="B25" s="15"/>
      <c r="C25" s="15"/>
      <c r="D25" s="15"/>
      <c r="E25" s="2"/>
      <c r="F25" s="2"/>
      <c r="G25" s="2"/>
      <c r="H25" s="2"/>
      <c r="I25" s="2">
        <f t="shared" si="0"/>
        <v>0</v>
      </c>
      <c r="J25" s="15"/>
    </row>
    <row r="26" spans="1:10" x14ac:dyDescent="0.2">
      <c r="A26" s="2">
        <v>23</v>
      </c>
      <c r="B26" s="15"/>
      <c r="C26" s="15"/>
      <c r="D26" s="15"/>
      <c r="E26" s="2"/>
      <c r="F26" s="2"/>
      <c r="G26" s="2"/>
      <c r="H26" s="2"/>
      <c r="I26" s="2">
        <f t="shared" si="0"/>
        <v>0</v>
      </c>
      <c r="J26" s="15"/>
    </row>
    <row r="27" spans="1:10" x14ac:dyDescent="0.2">
      <c r="A27" s="2">
        <v>24</v>
      </c>
      <c r="B27" s="15"/>
      <c r="C27" s="15"/>
      <c r="D27" s="15"/>
      <c r="E27" s="2"/>
      <c r="F27" s="2"/>
      <c r="G27" s="2"/>
      <c r="H27" s="2"/>
      <c r="I27" s="2">
        <f t="shared" si="0"/>
        <v>0</v>
      </c>
      <c r="J27" s="15"/>
    </row>
    <row r="28" spans="1:10" x14ac:dyDescent="0.2">
      <c r="A28" s="2">
        <v>25</v>
      </c>
      <c r="B28" s="15"/>
      <c r="C28" s="15"/>
      <c r="D28" s="15"/>
      <c r="E28" s="2"/>
      <c r="F28" s="2"/>
      <c r="G28" s="2"/>
      <c r="H28" s="2"/>
      <c r="I28" s="2">
        <f t="shared" si="0"/>
        <v>0</v>
      </c>
      <c r="J28" s="15"/>
    </row>
    <row r="29" spans="1:10" x14ac:dyDescent="0.2">
      <c r="A29" s="2">
        <v>26</v>
      </c>
      <c r="B29" s="15"/>
      <c r="C29" s="15"/>
      <c r="D29" s="15"/>
      <c r="E29" s="2"/>
      <c r="F29" s="2"/>
      <c r="G29" s="2"/>
      <c r="H29" s="2"/>
      <c r="I29" s="2">
        <f t="shared" si="0"/>
        <v>0</v>
      </c>
      <c r="J29" s="15"/>
    </row>
    <row r="30" spans="1:10" x14ac:dyDescent="0.2">
      <c r="A30" s="2">
        <v>27</v>
      </c>
      <c r="B30" s="15"/>
      <c r="C30" s="15"/>
      <c r="D30" s="15"/>
      <c r="E30" s="2"/>
      <c r="F30" s="2"/>
      <c r="G30" s="2"/>
      <c r="H30" s="2"/>
      <c r="I30" s="2">
        <f t="shared" si="0"/>
        <v>0</v>
      </c>
      <c r="J30" s="15"/>
    </row>
    <row r="31" spans="1:10" x14ac:dyDescent="0.2">
      <c r="A31" s="2">
        <v>28</v>
      </c>
      <c r="B31" s="15"/>
      <c r="C31" s="15"/>
      <c r="D31" s="15"/>
      <c r="E31" s="2"/>
      <c r="F31" s="2"/>
      <c r="G31" s="2"/>
      <c r="H31" s="2"/>
      <c r="I31" s="2">
        <f t="shared" si="0"/>
        <v>0</v>
      </c>
      <c r="J31" s="15"/>
    </row>
    <row r="32" spans="1:10" x14ac:dyDescent="0.2">
      <c r="A32" s="2">
        <v>29</v>
      </c>
      <c r="B32" s="15"/>
      <c r="C32" s="15"/>
      <c r="D32" s="15"/>
      <c r="E32" s="2"/>
      <c r="F32" s="2"/>
      <c r="G32" s="2"/>
      <c r="H32" s="2"/>
      <c r="I32" s="2">
        <f t="shared" si="0"/>
        <v>0</v>
      </c>
      <c r="J32" s="15"/>
    </row>
    <row r="33" spans="1:10" x14ac:dyDescent="0.2">
      <c r="A33" s="2">
        <v>30</v>
      </c>
      <c r="B33" s="15"/>
      <c r="C33" s="15"/>
      <c r="D33" s="15"/>
      <c r="E33" s="2"/>
      <c r="F33" s="2"/>
      <c r="G33" s="2"/>
      <c r="H33" s="2"/>
      <c r="I33" s="2">
        <f t="shared" si="0"/>
        <v>0</v>
      </c>
      <c r="J33" s="15"/>
    </row>
    <row r="34" spans="1:10" x14ac:dyDescent="0.2">
      <c r="A34" s="2">
        <v>31</v>
      </c>
      <c r="B34" s="15"/>
      <c r="C34" s="15"/>
      <c r="D34" s="15"/>
      <c r="E34" s="2"/>
      <c r="F34" s="2"/>
      <c r="G34" s="2"/>
      <c r="H34" s="2"/>
      <c r="I34" s="2">
        <f t="shared" si="0"/>
        <v>0</v>
      </c>
      <c r="J34" s="15"/>
    </row>
    <row r="35" spans="1:10" x14ac:dyDescent="0.2">
      <c r="A35" s="2">
        <v>32</v>
      </c>
      <c r="B35" s="15"/>
      <c r="C35" s="15"/>
      <c r="D35" s="15"/>
      <c r="E35" s="2"/>
      <c r="F35" s="2"/>
      <c r="G35" s="2"/>
      <c r="H35" s="2"/>
      <c r="I35" s="2">
        <f t="shared" si="0"/>
        <v>0</v>
      </c>
      <c r="J35" s="15"/>
    </row>
    <row r="36" spans="1:10" x14ac:dyDescent="0.2">
      <c r="A36" s="2">
        <v>33</v>
      </c>
      <c r="B36" s="15"/>
      <c r="C36" s="15"/>
      <c r="D36" s="15"/>
      <c r="E36" s="2"/>
      <c r="F36" s="2"/>
      <c r="G36" s="2"/>
      <c r="H36" s="2"/>
      <c r="I36" s="2">
        <f t="shared" si="0"/>
        <v>0</v>
      </c>
      <c r="J36" s="15"/>
    </row>
    <row r="37" spans="1:10" x14ac:dyDescent="0.2">
      <c r="A37" s="2">
        <v>34</v>
      </c>
      <c r="B37" s="15"/>
      <c r="C37" s="15"/>
      <c r="D37" s="15"/>
      <c r="E37" s="2"/>
      <c r="F37" s="2"/>
      <c r="G37" s="2"/>
      <c r="H37" s="2"/>
      <c r="I37" s="2">
        <f t="shared" si="0"/>
        <v>0</v>
      </c>
      <c r="J37" s="15"/>
    </row>
    <row r="38" spans="1:10" x14ac:dyDescent="0.2">
      <c r="A38" s="2">
        <v>35</v>
      </c>
      <c r="B38" s="15"/>
      <c r="C38" s="15"/>
      <c r="D38" s="15"/>
      <c r="E38" s="2"/>
      <c r="F38" s="2"/>
      <c r="G38" s="2"/>
      <c r="H38" s="2"/>
      <c r="I38" s="2">
        <f t="shared" si="0"/>
        <v>0</v>
      </c>
      <c r="J38" s="15"/>
    </row>
    <row r="39" spans="1:10" x14ac:dyDescent="0.2">
      <c r="A39" s="2">
        <v>36</v>
      </c>
      <c r="B39" s="15"/>
      <c r="C39" s="15"/>
      <c r="D39" s="15"/>
      <c r="E39" s="2"/>
      <c r="F39" s="2"/>
      <c r="G39" s="2"/>
      <c r="H39" s="2"/>
      <c r="I39" s="2">
        <f t="shared" si="0"/>
        <v>0</v>
      </c>
      <c r="J39" s="15"/>
    </row>
    <row r="40" spans="1:10" x14ac:dyDescent="0.2">
      <c r="A40" s="2">
        <v>37</v>
      </c>
      <c r="B40" s="15"/>
      <c r="C40" s="15"/>
      <c r="D40" s="15"/>
      <c r="E40" s="2"/>
      <c r="F40" s="2"/>
      <c r="G40" s="2"/>
      <c r="H40" s="2"/>
      <c r="I40" s="2">
        <f t="shared" si="0"/>
        <v>0</v>
      </c>
      <c r="J40" s="15"/>
    </row>
    <row r="41" spans="1:10" x14ac:dyDescent="0.2">
      <c r="A41" s="2">
        <v>38</v>
      </c>
      <c r="B41" s="15"/>
      <c r="C41" s="15"/>
      <c r="D41" s="15"/>
      <c r="E41" s="2"/>
      <c r="F41" s="2"/>
      <c r="G41" s="2"/>
      <c r="H41" s="2"/>
      <c r="I41" s="2">
        <f t="shared" si="0"/>
        <v>0</v>
      </c>
      <c r="J41" s="15"/>
    </row>
    <row r="42" spans="1:10" x14ac:dyDescent="0.2">
      <c r="A42" s="2">
        <v>39</v>
      </c>
      <c r="B42" s="15"/>
      <c r="C42" s="15"/>
      <c r="D42" s="15"/>
      <c r="E42" s="2"/>
      <c r="F42" s="2"/>
      <c r="G42" s="2"/>
      <c r="H42" s="2"/>
      <c r="I42" s="2">
        <f t="shared" si="0"/>
        <v>0</v>
      </c>
      <c r="J42" s="15"/>
    </row>
    <row r="43" spans="1:10" x14ac:dyDescent="0.2">
      <c r="A43" s="2">
        <v>40</v>
      </c>
      <c r="B43" s="15"/>
      <c r="C43" s="15"/>
      <c r="D43" s="15"/>
      <c r="E43" s="2"/>
      <c r="F43" s="2"/>
      <c r="G43" s="2"/>
      <c r="H43" s="2"/>
      <c r="I43" s="2">
        <f t="shared" si="0"/>
        <v>0</v>
      </c>
      <c r="J43" s="15"/>
    </row>
    <row r="44" spans="1:10" x14ac:dyDescent="0.2">
      <c r="A44" s="2">
        <v>41</v>
      </c>
      <c r="B44" s="15"/>
      <c r="C44" s="15"/>
      <c r="D44" s="15"/>
      <c r="E44" s="2"/>
      <c r="F44" s="2"/>
      <c r="G44" s="2"/>
      <c r="H44" s="2"/>
      <c r="I44" s="2">
        <f t="shared" si="0"/>
        <v>0</v>
      </c>
      <c r="J44" s="15"/>
    </row>
    <row r="45" spans="1:10" x14ac:dyDescent="0.2">
      <c r="A45" s="2">
        <v>42</v>
      </c>
      <c r="B45" s="15"/>
      <c r="C45" s="15"/>
      <c r="D45" s="15"/>
      <c r="E45" s="2"/>
      <c r="F45" s="2"/>
      <c r="G45" s="2"/>
      <c r="H45" s="2"/>
      <c r="I45" s="2">
        <f t="shared" si="0"/>
        <v>0</v>
      </c>
      <c r="J45" s="15"/>
    </row>
    <row r="46" spans="1:10" x14ac:dyDescent="0.2">
      <c r="A46" s="2">
        <v>43</v>
      </c>
      <c r="B46" s="15"/>
      <c r="C46" s="15"/>
      <c r="D46" s="15"/>
      <c r="E46" s="2"/>
      <c r="F46" s="2"/>
      <c r="G46" s="2"/>
      <c r="H46" s="2"/>
      <c r="I46" s="2">
        <f t="shared" si="0"/>
        <v>0</v>
      </c>
      <c r="J46" s="15"/>
    </row>
    <row r="47" spans="1:10" x14ac:dyDescent="0.2">
      <c r="A47" s="2">
        <v>44</v>
      </c>
      <c r="B47" s="15"/>
      <c r="C47" s="15"/>
      <c r="D47" s="15"/>
      <c r="E47" s="2"/>
      <c r="F47" s="2"/>
      <c r="G47" s="2"/>
      <c r="H47" s="2"/>
      <c r="I47" s="2">
        <f t="shared" si="0"/>
        <v>0</v>
      </c>
      <c r="J47" s="15"/>
    </row>
    <row r="48" spans="1:10" x14ac:dyDescent="0.2">
      <c r="A48" s="2">
        <v>45</v>
      </c>
      <c r="B48" s="15"/>
      <c r="C48" s="15"/>
      <c r="D48" s="15"/>
      <c r="E48" s="2"/>
      <c r="F48" s="2"/>
      <c r="G48" s="2"/>
      <c r="H48" s="2"/>
      <c r="I48" s="2">
        <f t="shared" si="0"/>
        <v>0</v>
      </c>
      <c r="J48" s="15"/>
    </row>
    <row r="49" spans="1:10" x14ac:dyDescent="0.2">
      <c r="A49" s="2">
        <v>46</v>
      </c>
      <c r="B49" s="15"/>
      <c r="C49" s="15"/>
      <c r="D49" s="15"/>
      <c r="E49" s="2"/>
      <c r="F49" s="2"/>
      <c r="G49" s="2"/>
      <c r="H49" s="2"/>
      <c r="I49" s="2">
        <f t="shared" si="0"/>
        <v>0</v>
      </c>
      <c r="J49" s="15"/>
    </row>
    <row r="50" spans="1:10" x14ac:dyDescent="0.2">
      <c r="A50" s="2">
        <v>47</v>
      </c>
      <c r="B50" s="15"/>
      <c r="C50" s="15"/>
      <c r="D50" s="15"/>
      <c r="E50" s="2"/>
      <c r="F50" s="2"/>
      <c r="G50" s="2"/>
      <c r="H50" s="2"/>
      <c r="I50" s="2">
        <f t="shared" si="0"/>
        <v>0</v>
      </c>
      <c r="J50" s="15"/>
    </row>
    <row r="51" spans="1:10" x14ac:dyDescent="0.2">
      <c r="A51" s="2">
        <v>48</v>
      </c>
      <c r="B51" s="15"/>
      <c r="C51" s="15"/>
      <c r="D51" s="15"/>
      <c r="E51" s="2"/>
      <c r="F51" s="2"/>
      <c r="G51" s="2"/>
      <c r="H51" s="2"/>
      <c r="I51" s="2">
        <f t="shared" si="0"/>
        <v>0</v>
      </c>
      <c r="J51" s="15"/>
    </row>
    <row r="52" spans="1:10" x14ac:dyDescent="0.2">
      <c r="A52" s="2">
        <v>49</v>
      </c>
      <c r="B52" s="15"/>
      <c r="C52" s="15"/>
      <c r="D52" s="15"/>
      <c r="E52" s="2"/>
      <c r="F52" s="2"/>
      <c r="G52" s="2"/>
      <c r="H52" s="2"/>
      <c r="I52" s="2">
        <f t="shared" si="0"/>
        <v>0</v>
      </c>
      <c r="J52" s="15"/>
    </row>
    <row r="53" spans="1:10" x14ac:dyDescent="0.2">
      <c r="A53" s="2">
        <v>50</v>
      </c>
      <c r="B53" s="15"/>
      <c r="C53" s="15"/>
      <c r="D53" s="15"/>
      <c r="E53" s="2"/>
      <c r="F53" s="2"/>
      <c r="G53" s="2"/>
      <c r="H53" s="2"/>
      <c r="I53" s="2">
        <f t="shared" si="0"/>
        <v>0</v>
      </c>
      <c r="J53" s="15"/>
    </row>
  </sheetData>
  <autoFilter ref="B6:J53" xr:uid="{ACD42685-1E99-4B12-A25A-7F3B12E4E336}"/>
  <mergeCells count="3">
    <mergeCell ref="E2:F2"/>
    <mergeCell ref="E3:F3"/>
    <mergeCell ref="E5:H5"/>
  </mergeCells>
  <dataValidations count="1">
    <dataValidation type="whole" allowBlank="1" showInputMessage="1" showErrorMessage="1" promptTitle="solo se permite número enteros" sqref="E7:H53" xr:uid="{23319ACE-3706-48DD-8E34-B567099F50A0}">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EFF96725-2FF9-40C1-AC4E-53A7EE3E3BB9}">
          <x14:formula1>
            <xm:f>Sheet3!$D$2:$D$154</xm:f>
          </x14:formula1>
          <xm:sqref>D7</xm:sqref>
        </x14:dataValidation>
        <x14:dataValidation type="list" allowBlank="1" showInputMessage="1" showErrorMessage="1" xr:uid="{5C74139F-40C9-4A04-9D9B-DB5160DE0FC2}">
          <x14:formula1>
            <xm:f>Sheet2!#REF!</xm:f>
          </x14:formula1>
          <xm:sqref>D8:D51</xm:sqref>
        </x14:dataValidation>
        <x14:dataValidation type="list" allowBlank="1" showInputMessage="1" showErrorMessage="1" xr:uid="{D993BF6C-8CF3-4BDF-8562-4B823BCC9208}">
          <x14:formula1>
            <xm:f>Sheet4!$B$3:$B$223</xm:f>
          </x14:formula1>
          <xm:sqref>J7:J51</xm:sqref>
        </x14:dataValidation>
        <x14:dataValidation type="list" allowBlank="1" showInputMessage="1" showErrorMessage="1" xr:uid="{85C8F5C6-2BC3-437C-9D24-C286212B7E58}">
          <x14:formula1>
            <xm:f>Sheet2!$A$2:$A$49</xm:f>
          </x14:formula1>
          <xm:sqref>B7:B51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021BA-91A5-43D6-93DB-F77663B493CC}">
  <sheetPr codeName="Sheet25">
    <tabColor rgb="FF92D050"/>
  </sheetPr>
  <dimension ref="A1:J56"/>
  <sheetViews>
    <sheetView zoomScale="110" zoomScaleNormal="110" workbookViewId="0">
      <selection activeCell="C10" sqref="C10"/>
    </sheetView>
  </sheetViews>
  <sheetFormatPr defaultColWidth="9" defaultRowHeight="14.25" x14ac:dyDescent="0.2"/>
  <cols>
    <col min="1" max="1" width="9" style="5"/>
    <col min="2" max="2" width="50.5" style="13" customWidth="1"/>
    <col min="3" max="3" width="40.375" style="13" customWidth="1"/>
    <col min="4" max="4" width="45" style="13" customWidth="1"/>
    <col min="5" max="8" width="9" style="5" customWidth="1"/>
    <col min="9" max="9" width="9" style="5" bestFit="1"/>
    <col min="10" max="10" width="47.625" style="13" customWidth="1"/>
    <col min="11" max="16384" width="9" style="5"/>
  </cols>
  <sheetData>
    <row r="1" spans="1:10" ht="15" thickBot="1" x14ac:dyDescent="0.25"/>
    <row r="2" spans="1:10" x14ac:dyDescent="0.2">
      <c r="D2" s="21" t="s">
        <v>0</v>
      </c>
      <c r="E2" s="31" t="s">
        <v>1</v>
      </c>
      <c r="F2" s="32"/>
    </row>
    <row r="3" spans="1:10" ht="15" thickBot="1" x14ac:dyDescent="0.25">
      <c r="D3" s="14" t="s">
        <v>2</v>
      </c>
      <c r="E3" s="29">
        <v>1400</v>
      </c>
      <c r="F3" s="30"/>
    </row>
    <row r="4" spans="1:10" ht="15" thickBot="1" x14ac:dyDescent="0.25"/>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5.5" x14ac:dyDescent="0.2">
      <c r="A7" s="2">
        <v>1</v>
      </c>
      <c r="B7" s="15" t="s">
        <v>78</v>
      </c>
      <c r="C7" s="15" t="s">
        <v>317</v>
      </c>
      <c r="D7" s="15" t="s">
        <v>80</v>
      </c>
      <c r="E7" s="2">
        <v>125</v>
      </c>
      <c r="F7" s="2">
        <v>125</v>
      </c>
      <c r="G7" s="2">
        <v>125</v>
      </c>
      <c r="H7" s="2">
        <v>125</v>
      </c>
      <c r="I7" s="2">
        <f t="shared" ref="I7:I38" si="0">SUM(E7:H7)</f>
        <v>500</v>
      </c>
      <c r="J7" s="15" t="s">
        <v>215</v>
      </c>
    </row>
    <row r="8" spans="1:10" ht="128.25" x14ac:dyDescent="0.2">
      <c r="A8" s="2">
        <v>2</v>
      </c>
      <c r="B8" s="15" t="s">
        <v>196</v>
      </c>
      <c r="C8" s="15" t="s">
        <v>318</v>
      </c>
      <c r="D8" s="15" t="s">
        <v>87</v>
      </c>
      <c r="E8" s="2">
        <v>75</v>
      </c>
      <c r="F8" s="2">
        <v>75</v>
      </c>
      <c r="G8" s="2">
        <v>75</v>
      </c>
      <c r="H8" s="2">
        <v>75</v>
      </c>
      <c r="I8" s="2">
        <f t="shared" si="0"/>
        <v>300</v>
      </c>
      <c r="J8" s="15" t="s">
        <v>215</v>
      </c>
    </row>
    <row r="9" spans="1:10" ht="71.25" x14ac:dyDescent="0.2">
      <c r="A9" s="2">
        <v>3</v>
      </c>
      <c r="B9" s="15" t="s">
        <v>122</v>
      </c>
      <c r="C9" s="15" t="s">
        <v>319</v>
      </c>
      <c r="D9" s="15" t="s">
        <v>127</v>
      </c>
      <c r="E9" s="2">
        <v>125</v>
      </c>
      <c r="F9" s="2">
        <v>125</v>
      </c>
      <c r="G9" s="2">
        <v>175</v>
      </c>
      <c r="H9" s="2">
        <v>175</v>
      </c>
      <c r="I9" s="2">
        <f t="shared" si="0"/>
        <v>600</v>
      </c>
      <c r="J9" s="15" t="s">
        <v>215</v>
      </c>
    </row>
    <row r="10" spans="1:10" x14ac:dyDescent="0.2">
      <c r="A10" s="2">
        <v>4</v>
      </c>
      <c r="B10" s="15"/>
      <c r="C10" s="15"/>
      <c r="D10" s="15"/>
      <c r="E10" s="2"/>
      <c r="F10" s="2"/>
      <c r="G10" s="2"/>
      <c r="H10" s="2"/>
      <c r="I10" s="2">
        <f t="shared" si="0"/>
        <v>0</v>
      </c>
      <c r="J10" s="15"/>
    </row>
    <row r="11" spans="1:10" x14ac:dyDescent="0.2">
      <c r="A11" s="2">
        <v>5</v>
      </c>
      <c r="B11" s="15"/>
      <c r="C11" s="15"/>
      <c r="D11" s="15"/>
      <c r="E11" s="2"/>
      <c r="F11" s="2"/>
      <c r="G11" s="2"/>
      <c r="H11" s="2"/>
      <c r="I11" s="2">
        <f t="shared" si="0"/>
        <v>0</v>
      </c>
      <c r="J11" s="15"/>
    </row>
    <row r="12" spans="1:10" x14ac:dyDescent="0.2">
      <c r="A12" s="2">
        <v>6</v>
      </c>
      <c r="B12" s="15"/>
      <c r="C12" s="15"/>
      <c r="D12" s="15"/>
      <c r="E12" s="2"/>
      <c r="F12" s="2"/>
      <c r="G12" s="2"/>
      <c r="H12" s="2"/>
      <c r="I12" s="2">
        <f t="shared" si="0"/>
        <v>0</v>
      </c>
      <c r="J12" s="15"/>
    </row>
    <row r="13" spans="1:10" x14ac:dyDescent="0.2">
      <c r="A13" s="2">
        <v>7</v>
      </c>
      <c r="B13" s="15"/>
      <c r="C13" s="15"/>
      <c r="D13" s="15"/>
      <c r="E13" s="2"/>
      <c r="F13" s="2"/>
      <c r="G13" s="2"/>
      <c r="H13" s="2"/>
      <c r="I13" s="2">
        <f t="shared" si="0"/>
        <v>0</v>
      </c>
      <c r="J13" s="15"/>
    </row>
    <row r="14" spans="1:10" x14ac:dyDescent="0.2">
      <c r="A14" s="2">
        <v>8</v>
      </c>
      <c r="B14" s="15"/>
      <c r="C14" s="15"/>
      <c r="D14" s="15"/>
      <c r="E14" s="2"/>
      <c r="F14" s="2"/>
      <c r="G14" s="2"/>
      <c r="H14" s="2"/>
      <c r="I14" s="2">
        <f t="shared" si="0"/>
        <v>0</v>
      </c>
      <c r="J14" s="15"/>
    </row>
    <row r="15" spans="1:10" x14ac:dyDescent="0.2">
      <c r="A15" s="2">
        <v>9</v>
      </c>
      <c r="B15" s="15"/>
      <c r="C15" s="15"/>
      <c r="D15" s="15"/>
      <c r="E15" s="2"/>
      <c r="F15" s="2"/>
      <c r="G15" s="2"/>
      <c r="H15" s="2"/>
      <c r="I15" s="2">
        <f t="shared" si="0"/>
        <v>0</v>
      </c>
      <c r="J15" s="15"/>
    </row>
    <row r="16" spans="1:10" x14ac:dyDescent="0.2">
      <c r="A16" s="2">
        <v>10</v>
      </c>
      <c r="B16" s="15"/>
      <c r="C16" s="15"/>
      <c r="D16" s="15"/>
      <c r="E16" s="2"/>
      <c r="F16" s="2"/>
      <c r="G16" s="2"/>
      <c r="H16" s="2"/>
      <c r="I16" s="2">
        <f t="shared" si="0"/>
        <v>0</v>
      </c>
      <c r="J16" s="15"/>
    </row>
    <row r="17" spans="1:10" x14ac:dyDescent="0.2">
      <c r="A17" s="2">
        <v>11</v>
      </c>
      <c r="B17" s="15"/>
      <c r="C17" s="15"/>
      <c r="D17" s="15"/>
      <c r="E17" s="2"/>
      <c r="F17" s="2"/>
      <c r="G17" s="2"/>
      <c r="H17" s="2"/>
      <c r="I17" s="2">
        <f t="shared" si="0"/>
        <v>0</v>
      </c>
      <c r="J17" s="15"/>
    </row>
    <row r="18" spans="1:10" x14ac:dyDescent="0.2">
      <c r="A18" s="2">
        <v>12</v>
      </c>
      <c r="B18" s="15"/>
      <c r="C18" s="15"/>
      <c r="D18" s="15"/>
      <c r="E18" s="2"/>
      <c r="F18" s="2"/>
      <c r="G18" s="2"/>
      <c r="H18" s="2"/>
      <c r="I18" s="2">
        <f t="shared" si="0"/>
        <v>0</v>
      </c>
      <c r="J18" s="15"/>
    </row>
    <row r="19" spans="1:10" x14ac:dyDescent="0.2">
      <c r="A19" s="2">
        <v>13</v>
      </c>
      <c r="B19" s="15"/>
      <c r="C19" s="15"/>
      <c r="D19" s="15"/>
      <c r="E19" s="2"/>
      <c r="F19" s="2"/>
      <c r="G19" s="2"/>
      <c r="H19" s="2"/>
      <c r="I19" s="2">
        <f t="shared" si="0"/>
        <v>0</v>
      </c>
      <c r="J19" s="15"/>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ref="I39:I56" si="1">SUM(E39:H39)</f>
        <v>0</v>
      </c>
      <c r="J39" s="15"/>
    </row>
    <row r="40" spans="1:10" x14ac:dyDescent="0.2">
      <c r="A40" s="2">
        <v>34</v>
      </c>
      <c r="B40" s="15"/>
      <c r="C40" s="15"/>
      <c r="D40" s="15"/>
      <c r="E40" s="2"/>
      <c r="F40" s="2"/>
      <c r="G40" s="2"/>
      <c r="H40" s="2"/>
      <c r="I40" s="2">
        <f t="shared" si="1"/>
        <v>0</v>
      </c>
      <c r="J40" s="15"/>
    </row>
    <row r="41" spans="1:10" x14ac:dyDescent="0.2">
      <c r="A41" s="2">
        <v>35</v>
      </c>
      <c r="B41" s="15"/>
      <c r="C41" s="15"/>
      <c r="D41" s="15"/>
      <c r="E41" s="2"/>
      <c r="F41" s="2"/>
      <c r="G41" s="2"/>
      <c r="H41" s="2"/>
      <c r="I41" s="2">
        <f t="shared" si="1"/>
        <v>0</v>
      </c>
      <c r="J41" s="15"/>
    </row>
    <row r="42" spans="1:10" x14ac:dyDescent="0.2">
      <c r="A42" s="2">
        <v>36</v>
      </c>
      <c r="B42" s="15"/>
      <c r="C42" s="15"/>
      <c r="D42" s="15"/>
      <c r="E42" s="2"/>
      <c r="F42" s="2"/>
      <c r="G42" s="2"/>
      <c r="H42" s="2"/>
      <c r="I42" s="2">
        <f t="shared" si="1"/>
        <v>0</v>
      </c>
      <c r="J42" s="15"/>
    </row>
    <row r="43" spans="1:10" x14ac:dyDescent="0.2">
      <c r="A43" s="2">
        <v>37</v>
      </c>
      <c r="B43" s="15"/>
      <c r="C43" s="15"/>
      <c r="D43" s="15"/>
      <c r="E43" s="2"/>
      <c r="F43" s="2"/>
      <c r="G43" s="2"/>
      <c r="H43" s="2"/>
      <c r="I43" s="2">
        <f t="shared" si="1"/>
        <v>0</v>
      </c>
      <c r="J43" s="15"/>
    </row>
    <row r="44" spans="1:10" x14ac:dyDescent="0.2">
      <c r="A44" s="2">
        <v>38</v>
      </c>
      <c r="B44" s="15"/>
      <c r="C44" s="15"/>
      <c r="D44" s="15"/>
      <c r="E44" s="2"/>
      <c r="F44" s="2"/>
      <c r="G44" s="2"/>
      <c r="H44" s="2"/>
      <c r="I44" s="2">
        <f t="shared" si="1"/>
        <v>0</v>
      </c>
      <c r="J44" s="15"/>
    </row>
    <row r="45" spans="1:10" x14ac:dyDescent="0.2">
      <c r="A45" s="2">
        <v>39</v>
      </c>
      <c r="B45" s="15"/>
      <c r="C45" s="15"/>
      <c r="D45" s="15"/>
      <c r="E45" s="2"/>
      <c r="F45" s="2"/>
      <c r="G45" s="2"/>
      <c r="H45" s="2"/>
      <c r="I45" s="2">
        <f t="shared" si="1"/>
        <v>0</v>
      </c>
      <c r="J45" s="15"/>
    </row>
    <row r="46" spans="1:10" x14ac:dyDescent="0.2">
      <c r="A46" s="2">
        <v>40</v>
      </c>
      <c r="B46" s="15"/>
      <c r="C46" s="15"/>
      <c r="D46" s="15"/>
      <c r="E46" s="2"/>
      <c r="F46" s="2"/>
      <c r="G46" s="2"/>
      <c r="H46" s="2"/>
      <c r="I46" s="2">
        <f t="shared" si="1"/>
        <v>0</v>
      </c>
      <c r="J46" s="15"/>
    </row>
    <row r="47" spans="1:10" x14ac:dyDescent="0.2">
      <c r="A47" s="2">
        <v>41</v>
      </c>
      <c r="B47" s="15"/>
      <c r="C47" s="15"/>
      <c r="D47" s="15"/>
      <c r="E47" s="2"/>
      <c r="F47" s="2"/>
      <c r="G47" s="2"/>
      <c r="H47" s="2"/>
      <c r="I47" s="2">
        <f t="shared" si="1"/>
        <v>0</v>
      </c>
      <c r="J47" s="15"/>
    </row>
    <row r="48" spans="1:10" x14ac:dyDescent="0.2">
      <c r="A48" s="2">
        <v>42</v>
      </c>
      <c r="B48" s="15"/>
      <c r="C48" s="15"/>
      <c r="D48" s="15"/>
      <c r="E48" s="2"/>
      <c r="F48" s="2"/>
      <c r="G48" s="2"/>
      <c r="H48" s="2"/>
      <c r="I48" s="2">
        <f t="shared" si="1"/>
        <v>0</v>
      </c>
      <c r="J48" s="15"/>
    </row>
    <row r="49" spans="1:10" x14ac:dyDescent="0.2">
      <c r="A49" s="2">
        <v>43</v>
      </c>
      <c r="B49" s="15"/>
      <c r="C49" s="15"/>
      <c r="D49" s="15"/>
      <c r="E49" s="2"/>
      <c r="F49" s="2"/>
      <c r="G49" s="2"/>
      <c r="H49" s="2"/>
      <c r="I49" s="2">
        <f t="shared" si="1"/>
        <v>0</v>
      </c>
      <c r="J49" s="15"/>
    </row>
    <row r="50" spans="1:10" x14ac:dyDescent="0.2">
      <c r="A50" s="2">
        <v>44</v>
      </c>
      <c r="B50" s="15"/>
      <c r="C50" s="15"/>
      <c r="D50" s="15"/>
      <c r="E50" s="2"/>
      <c r="F50" s="2"/>
      <c r="G50" s="2"/>
      <c r="H50" s="2"/>
      <c r="I50" s="2">
        <f t="shared" si="1"/>
        <v>0</v>
      </c>
      <c r="J50" s="15"/>
    </row>
    <row r="51" spans="1:10" x14ac:dyDescent="0.2">
      <c r="A51" s="2">
        <v>45</v>
      </c>
      <c r="B51" s="15"/>
      <c r="C51" s="15"/>
      <c r="D51" s="15"/>
      <c r="E51" s="2"/>
      <c r="F51" s="2"/>
      <c r="G51" s="2"/>
      <c r="H51" s="2"/>
      <c r="I51" s="2">
        <f t="shared" si="1"/>
        <v>0</v>
      </c>
      <c r="J51" s="15"/>
    </row>
    <row r="52" spans="1:10" x14ac:dyDescent="0.2">
      <c r="A52" s="2">
        <v>46</v>
      </c>
      <c r="B52" s="15"/>
      <c r="C52" s="15"/>
      <c r="D52" s="15"/>
      <c r="E52" s="2"/>
      <c r="F52" s="2"/>
      <c r="G52" s="2"/>
      <c r="H52" s="2"/>
      <c r="I52" s="2">
        <f t="shared" si="1"/>
        <v>0</v>
      </c>
      <c r="J52" s="15"/>
    </row>
    <row r="53" spans="1:10" x14ac:dyDescent="0.2">
      <c r="A53" s="2">
        <v>47</v>
      </c>
      <c r="B53" s="15"/>
      <c r="C53" s="15"/>
      <c r="D53" s="15"/>
      <c r="E53" s="2"/>
      <c r="F53" s="2"/>
      <c r="G53" s="2"/>
      <c r="H53" s="2"/>
      <c r="I53" s="2">
        <f t="shared" si="1"/>
        <v>0</v>
      </c>
      <c r="J53" s="15"/>
    </row>
    <row r="54" spans="1:10" x14ac:dyDescent="0.2">
      <c r="A54" s="2">
        <v>48</v>
      </c>
      <c r="B54" s="15"/>
      <c r="C54" s="15"/>
      <c r="D54" s="15"/>
      <c r="E54" s="2"/>
      <c r="F54" s="2"/>
      <c r="G54" s="2"/>
      <c r="H54" s="2"/>
      <c r="I54" s="2">
        <f t="shared" si="1"/>
        <v>0</v>
      </c>
      <c r="J54" s="15"/>
    </row>
    <row r="55" spans="1:10" x14ac:dyDescent="0.2">
      <c r="A55" s="2">
        <v>49</v>
      </c>
      <c r="B55" s="15"/>
      <c r="C55" s="15"/>
      <c r="D55" s="15"/>
      <c r="E55" s="2"/>
      <c r="F55" s="2"/>
      <c r="G55" s="2"/>
      <c r="H55" s="2"/>
      <c r="I55" s="2">
        <f t="shared" si="1"/>
        <v>0</v>
      </c>
      <c r="J55" s="15"/>
    </row>
    <row r="56" spans="1:10" x14ac:dyDescent="0.2">
      <c r="A56" s="2">
        <v>50</v>
      </c>
      <c r="B56" s="15"/>
      <c r="C56" s="15"/>
      <c r="D56" s="15"/>
      <c r="E56" s="2"/>
      <c r="F56" s="2"/>
      <c r="G56" s="2"/>
      <c r="H56" s="2"/>
      <c r="I56" s="2">
        <f t="shared" si="1"/>
        <v>0</v>
      </c>
      <c r="J56" s="15"/>
    </row>
  </sheetData>
  <mergeCells count="3">
    <mergeCell ref="E2:F2"/>
    <mergeCell ref="E3:F3"/>
    <mergeCell ref="E5:H5"/>
  </mergeCells>
  <dataValidations count="1">
    <dataValidation type="whole" allowBlank="1" showInputMessage="1" showErrorMessage="1" promptTitle="solo se permite número enteros" sqref="E7:H56" xr:uid="{FAB3D6B4-48D6-49D0-9066-8C57E400266D}">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33D45865-1CD5-4E6B-B88F-B6520E4FD356}">
          <x14:formula1>
            <xm:f>Sheet3!$D$2:$D$154</xm:f>
          </x14:formula1>
          <xm:sqref>D7 D9</xm:sqref>
        </x14:dataValidation>
        <x14:dataValidation type="list" allowBlank="1" showInputMessage="1" showErrorMessage="1" xr:uid="{EB15EDF1-2C78-4ADC-9E7A-DC2FD341B603}">
          <x14:formula1>
            <xm:f>Sheet2!#REF!</xm:f>
          </x14:formula1>
          <xm:sqref>D8 D10:D54</xm:sqref>
        </x14:dataValidation>
        <x14:dataValidation type="list" allowBlank="1" showInputMessage="1" showErrorMessage="1" xr:uid="{BF18F917-6BB5-40DA-A659-8BBC4AA9E3ED}">
          <x14:formula1>
            <xm:f>Sheet4!$B$3:$B$223</xm:f>
          </x14:formula1>
          <xm:sqref>J7:J54</xm:sqref>
        </x14:dataValidation>
        <x14:dataValidation type="list" allowBlank="1" showInputMessage="1" showErrorMessage="1" xr:uid="{AE3F0EC3-B479-4640-9F70-3BA79DF12786}">
          <x14:formula1>
            <xm:f>Sheet2!$A$2:$A$49</xm:f>
          </x14:formula1>
          <xm:sqref>B7:B54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4C2F-F89F-434F-9B22-0EF7CACA1EFE}">
  <sheetPr codeName="Sheet26">
    <tabColor rgb="FF92D050"/>
  </sheetPr>
  <dimension ref="A1:J58"/>
  <sheetViews>
    <sheetView workbookViewId="0">
      <selection activeCell="C8" sqref="C8"/>
    </sheetView>
  </sheetViews>
  <sheetFormatPr defaultColWidth="9" defaultRowHeight="14.25" x14ac:dyDescent="0.2"/>
  <cols>
    <col min="1" max="1" width="9" style="5"/>
    <col min="2" max="2" width="50.5" style="13" customWidth="1"/>
    <col min="3" max="3" width="47.125" style="13" customWidth="1"/>
    <col min="4" max="4" width="45" style="13" customWidth="1"/>
    <col min="5" max="8" width="9" style="5" customWidth="1"/>
    <col min="9" max="9" width="9" style="5" bestFit="1"/>
    <col min="10" max="10" width="47.625" style="13" customWidth="1"/>
    <col min="11" max="16384" width="9" style="5"/>
  </cols>
  <sheetData>
    <row r="1" spans="1:10" ht="15" thickBot="1" x14ac:dyDescent="0.25"/>
    <row r="2" spans="1:10" x14ac:dyDescent="0.2">
      <c r="D2" s="21" t="s">
        <v>0</v>
      </c>
      <c r="E2" s="31" t="s">
        <v>1</v>
      </c>
      <c r="F2" s="32"/>
    </row>
    <row r="3" spans="1:10" ht="15" thickBot="1" x14ac:dyDescent="0.25">
      <c r="D3" s="14" t="s">
        <v>2</v>
      </c>
      <c r="E3" s="29">
        <v>540</v>
      </c>
      <c r="F3" s="30"/>
    </row>
    <row r="4" spans="1:10" ht="15" thickBot="1" x14ac:dyDescent="0.25"/>
    <row r="5" spans="1:10" ht="15" customHeight="1" thickBot="1" x14ac:dyDescent="0.25">
      <c r="E5" s="26" t="s">
        <v>3</v>
      </c>
      <c r="F5" s="27"/>
      <c r="G5" s="27"/>
      <c r="H5" s="28"/>
    </row>
    <row r="6" spans="1:10" ht="23.45" customHeight="1" x14ac:dyDescent="0.2">
      <c r="A6" s="6" t="s">
        <v>4</v>
      </c>
      <c r="B6" s="6" t="s">
        <v>5</v>
      </c>
      <c r="C6" s="9" t="s">
        <v>6</v>
      </c>
      <c r="D6" s="7" t="s">
        <v>7</v>
      </c>
      <c r="E6" s="3" t="s">
        <v>8</v>
      </c>
      <c r="F6" s="3" t="s">
        <v>9</v>
      </c>
      <c r="G6" s="10" t="s">
        <v>10</v>
      </c>
      <c r="H6" s="4" t="s">
        <v>11</v>
      </c>
      <c r="I6" s="11" t="s">
        <v>12</v>
      </c>
      <c r="J6" s="11" t="s">
        <v>13</v>
      </c>
    </row>
    <row r="7" spans="1:10" ht="82.5" customHeight="1" x14ac:dyDescent="0.2">
      <c r="A7" s="2">
        <v>1</v>
      </c>
      <c r="B7" s="15" t="s">
        <v>50</v>
      </c>
      <c r="C7" s="15" t="s">
        <v>320</v>
      </c>
      <c r="D7" s="22" t="s">
        <v>52</v>
      </c>
      <c r="E7" s="2">
        <v>40</v>
      </c>
      <c r="F7" s="2">
        <v>40</v>
      </c>
      <c r="G7" s="2">
        <v>25</v>
      </c>
      <c r="H7" s="2">
        <v>4</v>
      </c>
      <c r="I7" s="2">
        <f t="shared" ref="I7:I40" si="0">SUM(E7:H7)</f>
        <v>109</v>
      </c>
      <c r="J7" s="15" t="s">
        <v>304</v>
      </c>
    </row>
    <row r="8" spans="1:10" ht="57" x14ac:dyDescent="0.2">
      <c r="A8" s="2">
        <v>2</v>
      </c>
      <c r="B8" s="15" t="s">
        <v>50</v>
      </c>
      <c r="C8" s="15" t="s">
        <v>321</v>
      </c>
      <c r="D8" s="15" t="s">
        <v>60</v>
      </c>
      <c r="E8" s="2">
        <v>25</v>
      </c>
      <c r="F8" s="2">
        <v>25</v>
      </c>
      <c r="G8" s="2"/>
      <c r="H8" s="2"/>
      <c r="I8" s="2">
        <f t="shared" si="0"/>
        <v>50</v>
      </c>
      <c r="J8" s="15" t="s">
        <v>308</v>
      </c>
    </row>
    <row r="9" spans="1:10" ht="57" x14ac:dyDescent="0.2">
      <c r="A9" s="2">
        <v>3</v>
      </c>
      <c r="B9" s="15" t="s">
        <v>50</v>
      </c>
      <c r="C9" s="15" t="s">
        <v>322</v>
      </c>
      <c r="D9" s="22" t="s">
        <v>70</v>
      </c>
      <c r="E9" s="2">
        <v>4</v>
      </c>
      <c r="F9" s="2"/>
      <c r="G9" s="2"/>
      <c r="H9" s="2"/>
      <c r="I9" s="2">
        <f t="shared" si="0"/>
        <v>4</v>
      </c>
      <c r="J9" s="15" t="s">
        <v>215</v>
      </c>
    </row>
    <row r="10" spans="1:10" ht="57" x14ac:dyDescent="0.2">
      <c r="A10" s="2">
        <v>4</v>
      </c>
      <c r="B10" s="15" t="s">
        <v>50</v>
      </c>
      <c r="C10" s="15" t="s">
        <v>322</v>
      </c>
      <c r="D10" s="22" t="s">
        <v>73</v>
      </c>
      <c r="E10" s="2">
        <v>4</v>
      </c>
      <c r="F10" s="2"/>
      <c r="G10" s="2"/>
      <c r="H10" s="2"/>
      <c r="I10" s="2">
        <f t="shared" si="0"/>
        <v>4</v>
      </c>
      <c r="J10" s="15" t="s">
        <v>215</v>
      </c>
    </row>
    <row r="11" spans="1:10" ht="57" x14ac:dyDescent="0.2">
      <c r="A11" s="2">
        <v>5</v>
      </c>
      <c r="B11" s="15" t="s">
        <v>50</v>
      </c>
      <c r="C11" s="15" t="s">
        <v>322</v>
      </c>
      <c r="D11" s="22" t="s">
        <v>72</v>
      </c>
      <c r="E11" s="2">
        <v>4</v>
      </c>
      <c r="F11" s="2"/>
      <c r="G11" s="2"/>
      <c r="H11" s="2"/>
      <c r="I11" s="2">
        <f t="shared" si="0"/>
        <v>4</v>
      </c>
      <c r="J11" s="15" t="s">
        <v>215</v>
      </c>
    </row>
    <row r="12" spans="1:10" ht="57" x14ac:dyDescent="0.2">
      <c r="A12" s="2">
        <v>6</v>
      </c>
      <c r="B12" s="22" t="s">
        <v>50</v>
      </c>
      <c r="C12" s="22" t="s">
        <v>54</v>
      </c>
      <c r="D12" s="22" t="s">
        <v>55</v>
      </c>
      <c r="E12" s="25">
        <v>40</v>
      </c>
      <c r="F12" s="25">
        <v>40</v>
      </c>
      <c r="G12" s="25">
        <v>25</v>
      </c>
      <c r="H12" s="25"/>
      <c r="I12" s="25">
        <f>SUM(E12:H12)</f>
        <v>105</v>
      </c>
      <c r="J12" s="15" t="s">
        <v>304</v>
      </c>
    </row>
    <row r="13" spans="1:10" ht="57" x14ac:dyDescent="0.2">
      <c r="A13" s="2">
        <v>7</v>
      </c>
      <c r="B13" s="22" t="s">
        <v>50</v>
      </c>
      <c r="C13" s="22" t="s">
        <v>56</v>
      </c>
      <c r="D13" s="22" t="s">
        <v>57</v>
      </c>
      <c r="E13" s="25">
        <v>37</v>
      </c>
      <c r="F13" s="25">
        <v>35</v>
      </c>
      <c r="G13" s="25">
        <v>23</v>
      </c>
      <c r="H13" s="25"/>
      <c r="I13" s="25">
        <f>SUM(E13:H13)</f>
        <v>95</v>
      </c>
      <c r="J13" s="15" t="s">
        <v>304</v>
      </c>
    </row>
    <row r="14" spans="1:10" ht="57" x14ac:dyDescent="0.2">
      <c r="A14" s="2">
        <v>8</v>
      </c>
      <c r="B14" s="22" t="s">
        <v>50</v>
      </c>
      <c r="C14" s="22" t="s">
        <v>56</v>
      </c>
      <c r="D14" s="22" t="s">
        <v>58</v>
      </c>
      <c r="E14" s="25">
        <v>170</v>
      </c>
      <c r="F14" s="25">
        <v>160</v>
      </c>
      <c r="G14" s="25">
        <v>120</v>
      </c>
      <c r="H14" s="25"/>
      <c r="I14" s="25">
        <f>SUM(E14:H14)</f>
        <v>450</v>
      </c>
      <c r="J14" s="15" t="s">
        <v>304</v>
      </c>
    </row>
    <row r="15" spans="1:10" ht="57" x14ac:dyDescent="0.2">
      <c r="A15" s="2">
        <v>9</v>
      </c>
      <c r="B15" s="15" t="s">
        <v>62</v>
      </c>
      <c r="C15" s="15" t="s">
        <v>323</v>
      </c>
      <c r="D15" s="15" t="s">
        <v>64</v>
      </c>
      <c r="E15" s="2">
        <v>60</v>
      </c>
      <c r="F15" s="2">
        <v>85</v>
      </c>
      <c r="G15" s="2">
        <v>60</v>
      </c>
      <c r="H15" s="2">
        <v>30</v>
      </c>
      <c r="I15" s="2">
        <f t="shared" si="0"/>
        <v>235</v>
      </c>
      <c r="J15" s="15" t="s">
        <v>304</v>
      </c>
    </row>
    <row r="16" spans="1:10" ht="99.75" x14ac:dyDescent="0.2">
      <c r="A16" s="2">
        <v>10</v>
      </c>
      <c r="B16" s="15" t="s">
        <v>62</v>
      </c>
      <c r="C16" s="15" t="s">
        <v>324</v>
      </c>
      <c r="D16" s="15" t="s">
        <v>325</v>
      </c>
      <c r="E16" s="2">
        <v>150</v>
      </c>
      <c r="F16" s="2">
        <v>200</v>
      </c>
      <c r="G16" s="2">
        <v>100</v>
      </c>
      <c r="H16" s="2">
        <v>90</v>
      </c>
      <c r="I16" s="2">
        <f t="shared" si="0"/>
        <v>540</v>
      </c>
      <c r="J16" s="15" t="s">
        <v>304</v>
      </c>
    </row>
    <row r="17" spans="1:10" ht="57" x14ac:dyDescent="0.2">
      <c r="A17" s="2">
        <v>11</v>
      </c>
      <c r="B17" s="22" t="s">
        <v>62</v>
      </c>
      <c r="C17" s="22" t="s">
        <v>66</v>
      </c>
      <c r="D17" s="22" t="s">
        <v>55</v>
      </c>
      <c r="E17" s="25">
        <v>60</v>
      </c>
      <c r="F17" s="25">
        <v>85</v>
      </c>
      <c r="G17" s="25">
        <v>60</v>
      </c>
      <c r="H17" s="25">
        <v>30</v>
      </c>
      <c r="I17" s="25">
        <f t="shared" si="0"/>
        <v>235</v>
      </c>
      <c r="J17" s="15" t="s">
        <v>304</v>
      </c>
    </row>
    <row r="18" spans="1:10" ht="57" x14ac:dyDescent="0.2">
      <c r="A18" s="2">
        <v>12</v>
      </c>
      <c r="B18" s="22" t="s">
        <v>62</v>
      </c>
      <c r="C18" s="22" t="s">
        <v>67</v>
      </c>
      <c r="D18" s="22" t="s">
        <v>57</v>
      </c>
      <c r="E18" s="25">
        <v>50</v>
      </c>
      <c r="F18" s="25">
        <v>70</v>
      </c>
      <c r="G18" s="25">
        <v>50</v>
      </c>
      <c r="H18" s="25">
        <v>20</v>
      </c>
      <c r="I18" s="25">
        <f t="shared" si="0"/>
        <v>190</v>
      </c>
      <c r="J18" s="15" t="s">
        <v>304</v>
      </c>
    </row>
    <row r="19" spans="1:10" ht="57" x14ac:dyDescent="0.2">
      <c r="A19" s="2">
        <v>13</v>
      </c>
      <c r="B19" s="22" t="s">
        <v>62</v>
      </c>
      <c r="C19" s="22" t="s">
        <v>68</v>
      </c>
      <c r="D19" s="22" t="s">
        <v>58</v>
      </c>
      <c r="E19" s="25">
        <v>960</v>
      </c>
      <c r="F19" s="25">
        <v>1400</v>
      </c>
      <c r="G19" s="25">
        <v>960</v>
      </c>
      <c r="H19" s="25">
        <v>480</v>
      </c>
      <c r="I19" s="25">
        <f t="shared" si="0"/>
        <v>3800</v>
      </c>
      <c r="J19" s="15" t="s">
        <v>304</v>
      </c>
    </row>
    <row r="20" spans="1:10" x14ac:dyDescent="0.2">
      <c r="A20" s="2">
        <v>14</v>
      </c>
      <c r="B20" s="15"/>
      <c r="C20" s="15"/>
      <c r="D20" s="15"/>
      <c r="E20" s="2"/>
      <c r="F20" s="2"/>
      <c r="G20" s="2"/>
      <c r="H20" s="2"/>
      <c r="I20" s="2">
        <f t="shared" si="0"/>
        <v>0</v>
      </c>
      <c r="J20" s="15"/>
    </row>
    <row r="21" spans="1:10" x14ac:dyDescent="0.2">
      <c r="A21" s="2">
        <v>15</v>
      </c>
      <c r="B21" s="15"/>
      <c r="C21" s="15"/>
      <c r="D21" s="15"/>
      <c r="E21" s="2"/>
      <c r="F21" s="2"/>
      <c r="G21" s="2"/>
      <c r="H21" s="2"/>
      <c r="I21" s="2">
        <f t="shared" si="0"/>
        <v>0</v>
      </c>
      <c r="J21" s="15"/>
    </row>
    <row r="22" spans="1:10" x14ac:dyDescent="0.2">
      <c r="A22" s="2">
        <v>16</v>
      </c>
      <c r="B22" s="15"/>
      <c r="C22" s="15"/>
      <c r="D22" s="15"/>
      <c r="E22" s="2"/>
      <c r="F22" s="2"/>
      <c r="G22" s="2"/>
      <c r="H22" s="2"/>
      <c r="I22" s="2">
        <f t="shared" si="0"/>
        <v>0</v>
      </c>
      <c r="J22" s="15"/>
    </row>
    <row r="23" spans="1:10" x14ac:dyDescent="0.2">
      <c r="A23" s="2">
        <v>17</v>
      </c>
      <c r="B23" s="15"/>
      <c r="C23" s="15"/>
      <c r="D23" s="15"/>
      <c r="E23" s="2"/>
      <c r="F23" s="2"/>
      <c r="G23" s="2"/>
      <c r="H23" s="2"/>
      <c r="I23" s="2">
        <f t="shared" si="0"/>
        <v>0</v>
      </c>
      <c r="J23" s="15"/>
    </row>
    <row r="24" spans="1:10" x14ac:dyDescent="0.2">
      <c r="A24" s="2">
        <v>18</v>
      </c>
      <c r="B24" s="15"/>
      <c r="C24" s="15"/>
      <c r="D24" s="15"/>
      <c r="E24" s="2"/>
      <c r="F24" s="2"/>
      <c r="G24" s="2"/>
      <c r="H24" s="2"/>
      <c r="I24" s="2">
        <f t="shared" si="0"/>
        <v>0</v>
      </c>
      <c r="J24" s="15"/>
    </row>
    <row r="25" spans="1:10" x14ac:dyDescent="0.2">
      <c r="A25" s="2">
        <v>19</v>
      </c>
      <c r="B25" s="15"/>
      <c r="C25" s="15"/>
      <c r="D25" s="15"/>
      <c r="E25" s="2"/>
      <c r="F25" s="2"/>
      <c r="G25" s="2"/>
      <c r="H25" s="2"/>
      <c r="I25" s="2">
        <f t="shared" si="0"/>
        <v>0</v>
      </c>
      <c r="J25" s="15"/>
    </row>
    <row r="26" spans="1:10" x14ac:dyDescent="0.2">
      <c r="A26" s="2">
        <v>20</v>
      </c>
      <c r="B26" s="15"/>
      <c r="C26" s="15"/>
      <c r="D26" s="15"/>
      <c r="E26" s="2"/>
      <c r="F26" s="2"/>
      <c r="G26" s="2"/>
      <c r="H26" s="2"/>
      <c r="I26" s="2">
        <f t="shared" si="0"/>
        <v>0</v>
      </c>
      <c r="J26" s="15"/>
    </row>
    <row r="27" spans="1:10" x14ac:dyDescent="0.2">
      <c r="A27" s="2">
        <v>21</v>
      </c>
      <c r="B27" s="15"/>
      <c r="C27" s="15"/>
      <c r="D27" s="15"/>
      <c r="E27" s="2"/>
      <c r="F27" s="2"/>
      <c r="G27" s="2"/>
      <c r="H27" s="2"/>
      <c r="I27" s="2">
        <f t="shared" si="0"/>
        <v>0</v>
      </c>
      <c r="J27" s="15"/>
    </row>
    <row r="28" spans="1:10" x14ac:dyDescent="0.2">
      <c r="A28" s="2">
        <v>22</v>
      </c>
      <c r="B28" s="15"/>
      <c r="C28" s="15"/>
      <c r="D28" s="15"/>
      <c r="E28" s="2"/>
      <c r="F28" s="2"/>
      <c r="G28" s="2"/>
      <c r="H28" s="2"/>
      <c r="I28" s="2">
        <f t="shared" si="0"/>
        <v>0</v>
      </c>
      <c r="J28" s="15"/>
    </row>
    <row r="29" spans="1:10" x14ac:dyDescent="0.2">
      <c r="A29" s="2">
        <v>23</v>
      </c>
      <c r="B29" s="15"/>
      <c r="C29" s="15"/>
      <c r="D29" s="15"/>
      <c r="E29" s="2"/>
      <c r="F29" s="2"/>
      <c r="G29" s="2"/>
      <c r="H29" s="2"/>
      <c r="I29" s="2">
        <f t="shared" si="0"/>
        <v>0</v>
      </c>
      <c r="J29" s="15"/>
    </row>
    <row r="30" spans="1:10" x14ac:dyDescent="0.2">
      <c r="A30" s="2">
        <v>24</v>
      </c>
      <c r="B30" s="15"/>
      <c r="C30" s="15"/>
      <c r="D30" s="15"/>
      <c r="E30" s="2"/>
      <c r="F30" s="2"/>
      <c r="G30" s="2"/>
      <c r="H30" s="2"/>
      <c r="I30" s="2">
        <f t="shared" si="0"/>
        <v>0</v>
      </c>
      <c r="J30" s="15"/>
    </row>
    <row r="31" spans="1:10" x14ac:dyDescent="0.2">
      <c r="A31" s="2">
        <v>25</v>
      </c>
      <c r="B31" s="15"/>
      <c r="C31" s="15"/>
      <c r="D31" s="15"/>
      <c r="E31" s="2"/>
      <c r="F31" s="2"/>
      <c r="G31" s="2"/>
      <c r="H31" s="2"/>
      <c r="I31" s="2">
        <f t="shared" si="0"/>
        <v>0</v>
      </c>
      <c r="J31" s="15"/>
    </row>
    <row r="32" spans="1:10" x14ac:dyDescent="0.2">
      <c r="A32" s="2">
        <v>26</v>
      </c>
      <c r="B32" s="15"/>
      <c r="C32" s="15"/>
      <c r="D32" s="15"/>
      <c r="E32" s="2"/>
      <c r="F32" s="2"/>
      <c r="G32" s="2"/>
      <c r="H32" s="2"/>
      <c r="I32" s="2">
        <f t="shared" si="0"/>
        <v>0</v>
      </c>
      <c r="J32" s="15"/>
    </row>
    <row r="33" spans="1:10" x14ac:dyDescent="0.2">
      <c r="A33" s="2">
        <v>27</v>
      </c>
      <c r="B33" s="15"/>
      <c r="C33" s="15"/>
      <c r="D33" s="15"/>
      <c r="E33" s="2"/>
      <c r="F33" s="2"/>
      <c r="G33" s="2"/>
      <c r="H33" s="2"/>
      <c r="I33" s="2">
        <f t="shared" si="0"/>
        <v>0</v>
      </c>
      <c r="J33" s="15"/>
    </row>
    <row r="34" spans="1:10" x14ac:dyDescent="0.2">
      <c r="A34" s="2">
        <v>28</v>
      </c>
      <c r="B34" s="15"/>
      <c r="C34" s="15"/>
      <c r="D34" s="15"/>
      <c r="E34" s="2"/>
      <c r="F34" s="2"/>
      <c r="G34" s="2"/>
      <c r="H34" s="2"/>
      <c r="I34" s="2">
        <f t="shared" si="0"/>
        <v>0</v>
      </c>
      <c r="J34" s="15"/>
    </row>
    <row r="35" spans="1:10" x14ac:dyDescent="0.2">
      <c r="A35" s="2">
        <v>29</v>
      </c>
      <c r="B35" s="15"/>
      <c r="C35" s="15"/>
      <c r="D35" s="15"/>
      <c r="E35" s="2"/>
      <c r="F35" s="2"/>
      <c r="G35" s="2"/>
      <c r="H35" s="2"/>
      <c r="I35" s="2">
        <f t="shared" si="0"/>
        <v>0</v>
      </c>
      <c r="J35" s="15"/>
    </row>
    <row r="36" spans="1:10" x14ac:dyDescent="0.2">
      <c r="A36" s="2">
        <v>30</v>
      </c>
      <c r="B36" s="15"/>
      <c r="C36" s="15"/>
      <c r="D36" s="15"/>
      <c r="E36" s="2"/>
      <c r="F36" s="2"/>
      <c r="G36" s="2"/>
      <c r="H36" s="2"/>
      <c r="I36" s="2">
        <f t="shared" si="0"/>
        <v>0</v>
      </c>
      <c r="J36" s="15"/>
    </row>
    <row r="37" spans="1:10" x14ac:dyDescent="0.2">
      <c r="A37" s="2">
        <v>31</v>
      </c>
      <c r="B37" s="15"/>
      <c r="C37" s="15"/>
      <c r="D37" s="15"/>
      <c r="E37" s="2"/>
      <c r="F37" s="2"/>
      <c r="G37" s="2"/>
      <c r="H37" s="2"/>
      <c r="I37" s="2">
        <f t="shared" si="0"/>
        <v>0</v>
      </c>
      <c r="J37" s="15"/>
    </row>
    <row r="38" spans="1:10" x14ac:dyDescent="0.2">
      <c r="A38" s="2">
        <v>32</v>
      </c>
      <c r="B38" s="15"/>
      <c r="C38" s="15"/>
      <c r="D38" s="15"/>
      <c r="E38" s="2"/>
      <c r="F38" s="2"/>
      <c r="G38" s="2"/>
      <c r="H38" s="2"/>
      <c r="I38" s="2">
        <f t="shared" si="0"/>
        <v>0</v>
      </c>
      <c r="J38" s="15"/>
    </row>
    <row r="39" spans="1:10" x14ac:dyDescent="0.2">
      <c r="A39" s="2">
        <v>33</v>
      </c>
      <c r="B39" s="15"/>
      <c r="C39" s="15"/>
      <c r="D39" s="15"/>
      <c r="E39" s="2"/>
      <c r="F39" s="2"/>
      <c r="G39" s="2"/>
      <c r="H39" s="2"/>
      <c r="I39" s="2">
        <f t="shared" si="0"/>
        <v>0</v>
      </c>
      <c r="J39" s="15"/>
    </row>
    <row r="40" spans="1:10" x14ac:dyDescent="0.2">
      <c r="A40" s="2">
        <v>34</v>
      </c>
      <c r="B40" s="15"/>
      <c r="C40" s="15"/>
      <c r="D40" s="15"/>
      <c r="E40" s="2"/>
      <c r="F40" s="2"/>
      <c r="G40" s="2"/>
      <c r="H40" s="2"/>
      <c r="I40" s="2">
        <f t="shared" si="0"/>
        <v>0</v>
      </c>
      <c r="J40" s="15"/>
    </row>
    <row r="41" spans="1:10" x14ac:dyDescent="0.2">
      <c r="A41" s="2">
        <v>35</v>
      </c>
      <c r="B41" s="15"/>
      <c r="C41" s="15"/>
      <c r="D41" s="15"/>
      <c r="E41" s="2"/>
      <c r="F41" s="2"/>
      <c r="G41" s="2"/>
      <c r="H41" s="2"/>
      <c r="I41" s="2">
        <f t="shared" ref="I41:I58" si="1">SUM(E41:H41)</f>
        <v>0</v>
      </c>
      <c r="J41" s="15"/>
    </row>
    <row r="42" spans="1:10" x14ac:dyDescent="0.2">
      <c r="A42" s="2">
        <v>36</v>
      </c>
      <c r="B42" s="15"/>
      <c r="C42" s="15"/>
      <c r="D42" s="15"/>
      <c r="E42" s="2"/>
      <c r="F42" s="2"/>
      <c r="G42" s="2"/>
      <c r="H42" s="2"/>
      <c r="I42" s="2">
        <f t="shared" si="1"/>
        <v>0</v>
      </c>
      <c r="J42" s="15"/>
    </row>
    <row r="43" spans="1:10" x14ac:dyDescent="0.2">
      <c r="A43" s="2">
        <v>37</v>
      </c>
      <c r="B43" s="15"/>
      <c r="C43" s="15"/>
      <c r="D43" s="15"/>
      <c r="E43" s="2"/>
      <c r="F43" s="2"/>
      <c r="G43" s="2"/>
      <c r="H43" s="2"/>
      <c r="I43" s="2">
        <f t="shared" si="1"/>
        <v>0</v>
      </c>
      <c r="J43" s="15"/>
    </row>
    <row r="44" spans="1:10" x14ac:dyDescent="0.2">
      <c r="A44" s="2">
        <v>38</v>
      </c>
      <c r="B44" s="15"/>
      <c r="C44" s="15"/>
      <c r="D44" s="15"/>
      <c r="E44" s="2"/>
      <c r="F44" s="2"/>
      <c r="G44" s="2"/>
      <c r="H44" s="2"/>
      <c r="I44" s="2">
        <f t="shared" si="1"/>
        <v>0</v>
      </c>
      <c r="J44" s="15"/>
    </row>
    <row r="45" spans="1:10" x14ac:dyDescent="0.2">
      <c r="A45" s="2">
        <v>39</v>
      </c>
      <c r="B45" s="15"/>
      <c r="C45" s="15"/>
      <c r="D45" s="15"/>
      <c r="E45" s="2"/>
      <c r="F45" s="2"/>
      <c r="G45" s="2"/>
      <c r="H45" s="2"/>
      <c r="I45" s="2">
        <f t="shared" si="1"/>
        <v>0</v>
      </c>
      <c r="J45" s="15"/>
    </row>
    <row r="46" spans="1:10" x14ac:dyDescent="0.2">
      <c r="A46" s="2">
        <v>40</v>
      </c>
      <c r="B46" s="15"/>
      <c r="C46" s="15"/>
      <c r="D46" s="15"/>
      <c r="E46" s="2"/>
      <c r="F46" s="2"/>
      <c r="G46" s="2"/>
      <c r="H46" s="2"/>
      <c r="I46" s="2">
        <f t="shared" si="1"/>
        <v>0</v>
      </c>
      <c r="J46" s="15"/>
    </row>
    <row r="47" spans="1:10" x14ac:dyDescent="0.2">
      <c r="A47" s="2">
        <v>41</v>
      </c>
      <c r="B47" s="15"/>
      <c r="C47" s="15"/>
      <c r="D47" s="15"/>
      <c r="E47" s="2"/>
      <c r="F47" s="2"/>
      <c r="G47" s="2"/>
      <c r="H47" s="2"/>
      <c r="I47" s="2">
        <f t="shared" si="1"/>
        <v>0</v>
      </c>
      <c r="J47" s="15"/>
    </row>
    <row r="48" spans="1:10" x14ac:dyDescent="0.2">
      <c r="A48" s="2">
        <v>42</v>
      </c>
      <c r="B48" s="15"/>
      <c r="C48" s="15"/>
      <c r="D48" s="15"/>
      <c r="E48" s="2"/>
      <c r="F48" s="2"/>
      <c r="G48" s="2"/>
      <c r="H48" s="2"/>
      <c r="I48" s="2">
        <f t="shared" si="1"/>
        <v>0</v>
      </c>
      <c r="J48" s="15"/>
    </row>
    <row r="49" spans="1:10" x14ac:dyDescent="0.2">
      <c r="A49" s="2">
        <v>43</v>
      </c>
      <c r="B49" s="15"/>
      <c r="C49" s="15"/>
      <c r="D49" s="15"/>
      <c r="E49" s="2"/>
      <c r="F49" s="2"/>
      <c r="G49" s="2"/>
      <c r="H49" s="2"/>
      <c r="I49" s="2">
        <f t="shared" si="1"/>
        <v>0</v>
      </c>
      <c r="J49" s="15"/>
    </row>
    <row r="50" spans="1:10" x14ac:dyDescent="0.2">
      <c r="A50" s="2">
        <v>44</v>
      </c>
      <c r="B50" s="15"/>
      <c r="C50" s="15"/>
      <c r="D50" s="15"/>
      <c r="E50" s="2"/>
      <c r="F50" s="2"/>
      <c r="G50" s="2"/>
      <c r="H50" s="2"/>
      <c r="I50" s="2">
        <f t="shared" si="1"/>
        <v>0</v>
      </c>
      <c r="J50" s="15"/>
    </row>
    <row r="51" spans="1:10" x14ac:dyDescent="0.2">
      <c r="A51" s="2">
        <v>45</v>
      </c>
      <c r="B51" s="15"/>
      <c r="C51" s="15"/>
      <c r="D51" s="15"/>
      <c r="E51" s="2"/>
      <c r="F51" s="2"/>
      <c r="G51" s="2"/>
      <c r="H51" s="2"/>
      <c r="I51" s="2">
        <f t="shared" si="1"/>
        <v>0</v>
      </c>
      <c r="J51" s="15"/>
    </row>
    <row r="52" spans="1:10" x14ac:dyDescent="0.2">
      <c r="A52" s="2">
        <v>46</v>
      </c>
      <c r="B52" s="15"/>
      <c r="C52" s="15"/>
      <c r="D52" s="15"/>
      <c r="E52" s="2"/>
      <c r="F52" s="2"/>
      <c r="G52" s="2"/>
      <c r="H52" s="2"/>
      <c r="I52" s="2">
        <f t="shared" si="1"/>
        <v>0</v>
      </c>
      <c r="J52" s="15"/>
    </row>
    <row r="53" spans="1:10" x14ac:dyDescent="0.2">
      <c r="A53" s="2">
        <v>47</v>
      </c>
      <c r="B53" s="15"/>
      <c r="C53" s="15"/>
      <c r="D53" s="15"/>
      <c r="E53" s="2"/>
      <c r="F53" s="2"/>
      <c r="G53" s="2"/>
      <c r="H53" s="2"/>
      <c r="I53" s="2">
        <f t="shared" si="1"/>
        <v>0</v>
      </c>
      <c r="J53" s="15"/>
    </row>
    <row r="54" spans="1:10" x14ac:dyDescent="0.2">
      <c r="A54" s="2">
        <v>48</v>
      </c>
      <c r="B54" s="15"/>
      <c r="C54" s="15"/>
      <c r="D54" s="15"/>
      <c r="E54" s="2"/>
      <c r="F54" s="2"/>
      <c r="G54" s="2"/>
      <c r="H54" s="2"/>
      <c r="I54" s="2">
        <f t="shared" si="1"/>
        <v>0</v>
      </c>
      <c r="J54" s="15"/>
    </row>
    <row r="55" spans="1:10" x14ac:dyDescent="0.2">
      <c r="A55" s="2">
        <v>49</v>
      </c>
      <c r="B55" s="15"/>
      <c r="C55" s="15"/>
      <c r="D55" s="15"/>
      <c r="E55" s="2"/>
      <c r="F55" s="2"/>
      <c r="G55" s="2"/>
      <c r="H55" s="2"/>
      <c r="I55" s="2">
        <f t="shared" si="1"/>
        <v>0</v>
      </c>
      <c r="J55" s="15"/>
    </row>
    <row r="56" spans="1:10" x14ac:dyDescent="0.2">
      <c r="A56" s="2">
        <v>50</v>
      </c>
      <c r="B56" s="15"/>
      <c r="C56" s="15"/>
      <c r="D56" s="15"/>
      <c r="E56" s="2"/>
      <c r="F56" s="2"/>
      <c r="G56" s="2"/>
      <c r="H56" s="2"/>
      <c r="I56" s="2">
        <f t="shared" si="1"/>
        <v>0</v>
      </c>
      <c r="J56" s="15"/>
    </row>
    <row r="57" spans="1:10" x14ac:dyDescent="0.2">
      <c r="A57" s="2">
        <v>51</v>
      </c>
      <c r="B57" s="15"/>
      <c r="C57" s="15"/>
      <c r="D57" s="15"/>
      <c r="E57" s="2"/>
      <c r="F57" s="2"/>
      <c r="G57" s="2"/>
      <c r="H57" s="2"/>
      <c r="I57" s="2">
        <f t="shared" si="1"/>
        <v>0</v>
      </c>
      <c r="J57" s="15"/>
    </row>
    <row r="58" spans="1:10" x14ac:dyDescent="0.2">
      <c r="A58" s="2">
        <v>52</v>
      </c>
      <c r="B58" s="15"/>
      <c r="C58" s="15"/>
      <c r="D58" s="15"/>
      <c r="E58" s="2"/>
      <c r="F58" s="2"/>
      <c r="G58" s="2"/>
      <c r="H58" s="2"/>
      <c r="I58" s="2">
        <f t="shared" si="1"/>
        <v>0</v>
      </c>
      <c r="J58" s="15"/>
    </row>
  </sheetData>
  <autoFilter ref="A6:J58" xr:uid="{2FDC4C2F-F89F-434F-9B22-0EF7CACA1EFE}"/>
  <mergeCells count="3">
    <mergeCell ref="E2:F2"/>
    <mergeCell ref="E3:F3"/>
    <mergeCell ref="E5:H5"/>
  </mergeCells>
  <dataValidations count="1">
    <dataValidation type="whole" allowBlank="1" showInputMessage="1" showErrorMessage="1" promptTitle="solo se permite número enteros" sqref="E7:H58" xr:uid="{1CDE972C-A474-439E-B942-92C86E286996}">
      <formula1>0</formula1>
      <formula2>1000000</formula2>
    </dataValidation>
  </dataValidations>
  <pageMargins left="0.7" right="0.7" top="0.75" bottom="0.75" header="0.3" footer="0.3"/>
  <customProperties>
    <customPr name="layoutContexts" r:id="rId1"/>
  </customProperties>
  <extLst>
    <ext xmlns:x14="http://schemas.microsoft.com/office/spreadsheetml/2009/9/main" uri="{CCE6A557-97BC-4b89-ADB6-D9C93CAAB3DF}">
      <x14:dataValidations xmlns:xm="http://schemas.microsoft.com/office/excel/2006/main" count="4">
        <x14:dataValidation type="list" allowBlank="1" showInputMessage="1" showErrorMessage="1" xr:uid="{DC7E05DE-862D-48A8-9E15-937E7F4402DD}">
          <x14:formula1>
            <xm:f>Sheet3!$D$2:$D$154</xm:f>
          </x14:formula1>
          <xm:sqref>D7 D9:D14 D17:D19</xm:sqref>
        </x14:dataValidation>
        <x14:dataValidation type="list" allowBlank="1" showInputMessage="1" showErrorMessage="1" xr:uid="{85A0DEAC-4CB4-4839-B661-BF0141FF1B42}">
          <x14:formula1>
            <xm:f>Sheet2!#REF!</xm:f>
          </x14:formula1>
          <xm:sqref>D8 D15:D16 D20:D56</xm:sqref>
        </x14:dataValidation>
        <x14:dataValidation type="list" allowBlank="1" showInputMessage="1" showErrorMessage="1" xr:uid="{5664BC35-01D7-4FDE-A895-0C8436E2BD5A}">
          <x14:formula1>
            <xm:f>Sheet4!$B$3:$B$223</xm:f>
          </x14:formula1>
          <xm:sqref>J7:J56</xm:sqref>
        </x14:dataValidation>
        <x14:dataValidation type="list" allowBlank="1" showInputMessage="1" showErrorMessage="1" xr:uid="{895EC7A0-E577-4F90-9B76-C399882E62CB}">
          <x14:formula1>
            <xm:f>Sheet2!$A$2:$A$49</xm:f>
          </x14:formula1>
          <xm:sqref>B7:B56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BA91-84E2-4230-BEBB-DD81709DA0BC}">
  <sheetPr codeName="Sheet3"/>
  <dimension ref="A1:D154"/>
  <sheetViews>
    <sheetView topLeftCell="C130" workbookViewId="0">
      <selection activeCell="D32" sqref="D32"/>
    </sheetView>
  </sheetViews>
  <sheetFormatPr defaultRowHeight="14.25" x14ac:dyDescent="0.2"/>
  <cols>
    <col min="1" max="1" width="14.75" customWidth="1"/>
    <col min="2" max="2" width="103.25" customWidth="1"/>
    <col min="3" max="3" width="12" customWidth="1"/>
    <col min="4" max="4" width="71.25" customWidth="1"/>
  </cols>
  <sheetData>
    <row r="1" spans="1:4" x14ac:dyDescent="0.2">
      <c r="A1" t="s">
        <v>326</v>
      </c>
      <c r="B1" t="s">
        <v>327</v>
      </c>
      <c r="C1" t="s">
        <v>328</v>
      </c>
      <c r="D1" t="s">
        <v>329</v>
      </c>
    </row>
    <row r="2" spans="1:4" x14ac:dyDescent="0.2">
      <c r="A2" t="s">
        <v>330</v>
      </c>
      <c r="B2" t="s">
        <v>331</v>
      </c>
      <c r="D2" t="str">
        <f>_xlfn.CONCAT(A2," ",B2, IF(C2&lt;&gt;"",_xlfn.CONCAT("(Categoría: ",C2,")"),""))</f>
        <v>10001 No. de funcionarios de migración capacitados en estándares internacionales de protección</v>
      </c>
    </row>
    <row r="3" spans="1:4" x14ac:dyDescent="0.2">
      <c r="A3" t="s">
        <v>332</v>
      </c>
      <c r="B3" t="s">
        <v>333</v>
      </c>
      <c r="D3" t="str">
        <f t="shared" ref="D3:D66" si="0">_xlfn.CONCAT(A3," ",B3, IF(C3&lt;&gt;"",_xlfn.CONCAT("(Categoría: ",C3,")"),""))</f>
        <v>10002 No. de personas por las cuales ACNUR trabaja informadas y orientadas a servicios de protección</v>
      </c>
    </row>
    <row r="4" spans="1:4" x14ac:dyDescent="0.2">
      <c r="A4" t="s">
        <v>334</v>
      </c>
      <c r="B4" t="s">
        <v>335</v>
      </c>
      <c r="D4" t="str">
        <f t="shared" si="0"/>
        <v>10003 No. de personas por las cuales ACNUR trabaja con sanciones migratorias o riesgo de devolución identificadas y asesoradas legalmente</v>
      </c>
    </row>
    <row r="5" spans="1:4" x14ac:dyDescent="0.2">
      <c r="A5" t="s">
        <v>336</v>
      </c>
      <c r="B5" t="s">
        <v>337</v>
      </c>
      <c r="D5" t="str">
        <f t="shared" si="0"/>
        <v>10101 No. de personas por las cuales ACNUR trabaja que reciben albergue de emergencia/alojamiento temporal</v>
      </c>
    </row>
    <row r="6" spans="1:4" x14ac:dyDescent="0.2">
      <c r="A6" t="s">
        <v>338</v>
      </c>
      <c r="B6" t="s">
        <v>339</v>
      </c>
      <c r="D6" t="str">
        <f t="shared" si="0"/>
        <v>10102 No. de infraestructuas de albergues/alojamientos temporales construidos, mejorados o equipados</v>
      </c>
    </row>
    <row r="7" spans="1:4" x14ac:dyDescent="0.2">
      <c r="A7" t="s">
        <v>340</v>
      </c>
      <c r="B7" t="s">
        <v>341</v>
      </c>
      <c r="C7" t="s">
        <v>342</v>
      </c>
      <c r="D7" t="str">
        <f t="shared" si="0"/>
        <v>10103 No. de personas de instituciones capacitadas(Categoría: Gestión de alojamientos temporales con enfoque de protección)</v>
      </c>
    </row>
    <row r="8" spans="1:4" x14ac:dyDescent="0.2">
      <c r="A8" t="s">
        <v>343</v>
      </c>
      <c r="B8" t="s">
        <v>344</v>
      </c>
      <c r="D8" t="str">
        <f t="shared" si="0"/>
        <v>10104 No. de personas por las cuales ACNUR trabaja atendidas/ayudadas en comedores apoyados por ACNUR</v>
      </c>
    </row>
    <row r="9" spans="1:4" x14ac:dyDescent="0.2">
      <c r="A9" t="s">
        <v>345</v>
      </c>
      <c r="B9" t="s">
        <v>346</v>
      </c>
      <c r="C9" t="s">
        <v>347</v>
      </c>
      <c r="D9" t="str">
        <f t="shared" si="0"/>
        <v>10201 No. de personas por las cuales ACNUR trabaja registradas individualmente con el mínimo conjunto de datos requerido(Categoría: En los puntos de entrada y tránsito)</v>
      </c>
    </row>
    <row r="10" spans="1:4" x14ac:dyDescent="0.2">
      <c r="A10" t="s">
        <v>348</v>
      </c>
      <c r="B10" t="s">
        <v>349</v>
      </c>
      <c r="D10" t="str">
        <f t="shared" si="0"/>
        <v>10301 No. de personas por las cuales ACNUR trabaja a las que se les ha concedido el estatus de refugiado</v>
      </c>
    </row>
    <row r="11" spans="1:4" x14ac:dyDescent="0.2">
      <c r="A11" t="s">
        <v>350</v>
      </c>
      <c r="B11" t="s">
        <v>351</v>
      </c>
      <c r="D11" t="str">
        <f t="shared" si="0"/>
        <v>10302 No. de personas por las cuales ACNUR trabaja admitidas en el procedimiento de RSD</v>
      </c>
    </row>
    <row r="12" spans="1:4" x14ac:dyDescent="0.2">
      <c r="A12" t="s">
        <v>352</v>
      </c>
      <c r="B12" t="s">
        <v>353</v>
      </c>
      <c r="C12" t="s">
        <v>354</v>
      </c>
      <c r="D12" t="str">
        <f t="shared" si="0"/>
        <v>10303 No. de consultores de asesoramiento técnico y de expertos proporcionados(Categoría: DPIN)</v>
      </c>
    </row>
    <row r="13" spans="1:4" x14ac:dyDescent="0.2">
      <c r="A13" t="s">
        <v>355</v>
      </c>
      <c r="B13" t="s">
        <v>341</v>
      </c>
      <c r="C13" t="s">
        <v>354</v>
      </c>
      <c r="D13" t="str">
        <f t="shared" si="0"/>
        <v>10304 No. de personas de instituciones capacitadas(Categoría: DPIN)</v>
      </c>
    </row>
    <row r="14" spans="1:4" x14ac:dyDescent="0.2">
      <c r="A14" t="s">
        <v>356</v>
      </c>
      <c r="B14" t="s">
        <v>357</v>
      </c>
      <c r="C14" t="s">
        <v>354</v>
      </c>
      <c r="D14" t="str">
        <f t="shared" si="0"/>
        <v>10401 No. de intervenciones de incidencia realizadas(Categoría: DPIN)</v>
      </c>
    </row>
    <row r="15" spans="1:4" x14ac:dyDescent="0.2">
      <c r="A15" t="s">
        <v>358</v>
      </c>
      <c r="B15" t="s">
        <v>346</v>
      </c>
      <c r="C15" t="s">
        <v>354</v>
      </c>
      <c r="D15" t="str">
        <f t="shared" si="0"/>
        <v>10501 No. de personas por las cuales ACNUR trabaja registradas individualmente con el mínimo conjunto de datos requerido(Categoría: DPIN)</v>
      </c>
    </row>
    <row r="16" spans="1:4" x14ac:dyDescent="0.2">
      <c r="A16" t="s">
        <v>359</v>
      </c>
      <c r="B16" t="s">
        <v>341</v>
      </c>
      <c r="C16" t="s">
        <v>360</v>
      </c>
      <c r="D16" t="str">
        <f t="shared" si="0"/>
        <v>10601 No. de personas de instituciones capacitadas(Categoría: DP)</v>
      </c>
    </row>
    <row r="17" spans="1:4" x14ac:dyDescent="0.2">
      <c r="A17" t="s">
        <v>361</v>
      </c>
      <c r="B17" t="s">
        <v>362</v>
      </c>
      <c r="C17" t="s">
        <v>360</v>
      </c>
      <c r="D17" t="str">
        <f t="shared" si="0"/>
        <v>10602 No. de personas por las cuales ACNUR trabaja que reciben representación/asistencia legal(Categoría: DP)</v>
      </c>
    </row>
    <row r="18" spans="1:4" x14ac:dyDescent="0.2">
      <c r="A18" t="s">
        <v>363</v>
      </c>
      <c r="B18" t="s">
        <v>353</v>
      </c>
      <c r="C18" t="s">
        <v>360</v>
      </c>
      <c r="D18" t="str">
        <f t="shared" si="0"/>
        <v>10603 No. de consultores de asesoramiento técnico y de expertos proporcionados(Categoría: DP)</v>
      </c>
    </row>
    <row r="19" spans="1:4" x14ac:dyDescent="0.2">
      <c r="A19" t="s">
        <v>364</v>
      </c>
      <c r="B19" t="s">
        <v>341</v>
      </c>
      <c r="C19" t="s">
        <v>365</v>
      </c>
      <c r="D19" t="str">
        <f t="shared" si="0"/>
        <v>10701 No. de personas de instituciones capacitadas(Categoría: Prevención, mitigación y respuesta a la VBG)</v>
      </c>
    </row>
    <row r="20" spans="1:4" x14ac:dyDescent="0.2">
      <c r="A20" t="s">
        <v>366</v>
      </c>
      <c r="B20" t="s">
        <v>357</v>
      </c>
      <c r="C20" t="s">
        <v>365</v>
      </c>
      <c r="D20" t="str">
        <f t="shared" si="0"/>
        <v>10702 No. de intervenciones de incidencia realizadas(Categoría: Prevención, mitigación y respuesta a la VBG)</v>
      </c>
    </row>
    <row r="21" spans="1:4" x14ac:dyDescent="0.2">
      <c r="A21" t="s">
        <v>367</v>
      </c>
      <c r="B21" t="s">
        <v>341</v>
      </c>
      <c r="C21" t="s">
        <v>368</v>
      </c>
      <c r="D21" t="str">
        <f t="shared" si="0"/>
        <v>10703 No. de personas de instituciones capacitadas(Categoría: Protección de niñez y adolescencia)</v>
      </c>
    </row>
    <row r="22" spans="1:4" x14ac:dyDescent="0.2">
      <c r="A22" t="s">
        <v>369</v>
      </c>
      <c r="B22" t="s">
        <v>357</v>
      </c>
      <c r="C22" t="s">
        <v>368</v>
      </c>
      <c r="D22" t="str">
        <f t="shared" si="0"/>
        <v>10704 No. de intervenciones de incidencia realizadas(Categoría: Protección de niñez y adolescencia)</v>
      </c>
    </row>
    <row r="23" spans="1:4" x14ac:dyDescent="0.2">
      <c r="A23" t="s">
        <v>370</v>
      </c>
      <c r="B23" t="s">
        <v>371</v>
      </c>
      <c r="D23" t="str">
        <f t="shared" si="0"/>
        <v>10801 No. de personas por las cuales ACNUR trabaja registradas en el Ministerio del Interior para acceso a alternativas migratorias</v>
      </c>
    </row>
    <row r="24" spans="1:4" x14ac:dyDescent="0.2">
      <c r="A24" t="s">
        <v>372</v>
      </c>
      <c r="B24" t="s">
        <v>373</v>
      </c>
      <c r="D24" t="str">
        <f t="shared" si="0"/>
        <v>10802 No. de personas por las cuales ACNUR trabaja que obtienen estatus de regularización migratoria</v>
      </c>
    </row>
    <row r="25" spans="1:4" x14ac:dyDescent="0.2">
      <c r="A25" t="s">
        <v>374</v>
      </c>
      <c r="B25" t="s">
        <v>375</v>
      </c>
      <c r="D25" t="str">
        <f t="shared" si="0"/>
        <v>10803 No. de niños, niñas y adolescentes por los cuales ACNUR trabaja que obtienen estatus de regularización migratoria con el apoyo del MIES</v>
      </c>
    </row>
    <row r="26" spans="1:4" x14ac:dyDescent="0.2">
      <c r="A26" t="s">
        <v>376</v>
      </c>
      <c r="B26" t="s">
        <v>353</v>
      </c>
      <c r="C26" t="s">
        <v>377</v>
      </c>
      <c r="D26" t="str">
        <f t="shared" si="0"/>
        <v>10804 No. de consultores de asesoramiento técnico y de expertos proporcionados(Categoría: Ministerio Interior)</v>
      </c>
    </row>
    <row r="27" spans="1:4" x14ac:dyDescent="0.2">
      <c r="A27" t="s">
        <v>378</v>
      </c>
      <c r="B27" t="s">
        <v>353</v>
      </c>
      <c r="C27" t="s">
        <v>379</v>
      </c>
      <c r="D27" t="str">
        <f t="shared" si="0"/>
        <v>10805 No. de consultores de asesoramiento técnico y de expertos proporcionados(Categoría: MIES)</v>
      </c>
    </row>
    <row r="28" spans="1:4" x14ac:dyDescent="0.2">
      <c r="A28" t="s">
        <v>380</v>
      </c>
      <c r="B28" t="s">
        <v>353</v>
      </c>
      <c r="C28" t="s">
        <v>381</v>
      </c>
      <c r="D28" t="str">
        <f t="shared" si="0"/>
        <v>10806 No. de consultores de asesoramiento técnico y de expertos proporcionados(Categoría: Viceministerio de Movilidad Humana)</v>
      </c>
    </row>
    <row r="29" spans="1:4" x14ac:dyDescent="0.2">
      <c r="A29" t="s">
        <v>382</v>
      </c>
      <c r="B29" t="s">
        <v>383</v>
      </c>
      <c r="C29" t="s">
        <v>384</v>
      </c>
      <c r="D29" t="str">
        <f t="shared" si="0"/>
        <v>10901 No. de personas por las cuales ACNUR trabaja que reciben orientación y asistencia legal(Categoría: Acceso al asilo y alternativas migratorias)</v>
      </c>
    </row>
    <row r="30" spans="1:4" x14ac:dyDescent="0.2">
      <c r="A30" t="s">
        <v>385</v>
      </c>
      <c r="B30" t="s">
        <v>386</v>
      </c>
      <c r="C30" t="s">
        <v>387</v>
      </c>
      <c r="D30" t="str">
        <f t="shared" si="0"/>
        <v>10902 No. de personas por las cuales ACNUR trabaja que reciben transferencias monetarias(Categoría: Documentación)</v>
      </c>
    </row>
    <row r="31" spans="1:4" x14ac:dyDescent="0.2">
      <c r="A31" t="s">
        <v>388</v>
      </c>
      <c r="B31" t="s">
        <v>389</v>
      </c>
      <c r="C31" t="s">
        <v>387</v>
      </c>
      <c r="D31" t="str">
        <f t="shared" si="0"/>
        <v>10903 No. de hogares que reciben transferencias monetarias(Categoría: Documentación)</v>
      </c>
    </row>
    <row r="32" spans="1:4" x14ac:dyDescent="0.2">
      <c r="A32" t="s">
        <v>390</v>
      </c>
      <c r="B32" t="s">
        <v>391</v>
      </c>
      <c r="C32" t="s">
        <v>387</v>
      </c>
      <c r="D32" t="str">
        <f t="shared" si="0"/>
        <v>10904 No. de transferencias monetarias realizadas(Categoría: Documentación)</v>
      </c>
    </row>
    <row r="33" spans="1:4" x14ac:dyDescent="0.2">
      <c r="A33" t="s">
        <v>392</v>
      </c>
      <c r="B33" t="s">
        <v>393</v>
      </c>
      <c r="D33" t="str">
        <f t="shared" si="0"/>
        <v>10A01 No. de personas por las cuales ACNUR trabaja que obtienen cédula de identidad con Registro Civil</v>
      </c>
    </row>
    <row r="34" spans="1:4" x14ac:dyDescent="0.2">
      <c r="A34" t="s">
        <v>394</v>
      </c>
      <c r="B34" t="s">
        <v>395</v>
      </c>
      <c r="D34" t="str">
        <f t="shared" si="0"/>
        <v>10A02 No. de personas por las cuales ACNUR trabaja con visa VIRTE que obtienen cédula de identidad con Registro Civil</v>
      </c>
    </row>
    <row r="35" spans="1:4" x14ac:dyDescent="0.2">
      <c r="A35" t="s">
        <v>396</v>
      </c>
      <c r="B35" t="s">
        <v>397</v>
      </c>
      <c r="D35" t="str">
        <f t="shared" si="0"/>
        <v>10B01 No. de personas sobrevivientes de VBG por las cuales ACNUR trabaja admitidas en casas de acogida para su protección</v>
      </c>
    </row>
    <row r="36" spans="1:4" x14ac:dyDescent="0.2">
      <c r="A36" t="s">
        <v>398</v>
      </c>
      <c r="B36" t="s">
        <v>399</v>
      </c>
      <c r="D36" t="str">
        <f t="shared" si="0"/>
        <v>10B02 No. personas por las cuales ACNUR trabaja identificadas como sobrevivientes de VBG</v>
      </c>
    </row>
    <row r="37" spans="1:4" x14ac:dyDescent="0.2">
      <c r="A37" t="s">
        <v>400</v>
      </c>
      <c r="B37" t="s">
        <v>401</v>
      </c>
      <c r="C37" t="s">
        <v>402</v>
      </c>
      <c r="D37" t="str">
        <f t="shared" si="0"/>
        <v>10B03 No. de personas por las cuales ACNUR trabaja que reciben atención psicosocial(Categoría: General)</v>
      </c>
    </row>
    <row r="38" spans="1:4" x14ac:dyDescent="0.2">
      <c r="A38" t="s">
        <v>403</v>
      </c>
      <c r="B38" t="s">
        <v>383</v>
      </c>
      <c r="C38" t="s">
        <v>365</v>
      </c>
      <c r="D38" t="str">
        <f t="shared" si="0"/>
        <v>10C01 No. de personas por las cuales ACNUR trabaja que reciben orientación y asistencia legal(Categoría: Prevención, mitigación y respuesta a la VBG)</v>
      </c>
    </row>
    <row r="39" spans="1:4" x14ac:dyDescent="0.2">
      <c r="A39" t="s">
        <v>404</v>
      </c>
      <c r="B39" t="s">
        <v>405</v>
      </c>
      <c r="C39" t="s">
        <v>365</v>
      </c>
      <c r="D39" t="str">
        <f t="shared" si="0"/>
        <v>10D01 No. de personas por las cuales ACNUR trabaja y de comunidad de acogida capacitadas(Categoría: Prevención, mitigación y respuesta a la VBG)</v>
      </c>
    </row>
    <row r="40" spans="1:4" x14ac:dyDescent="0.2">
      <c r="A40" t="s">
        <v>406</v>
      </c>
      <c r="B40" t="s">
        <v>341</v>
      </c>
      <c r="C40" t="s">
        <v>407</v>
      </c>
      <c r="D40" t="str">
        <f t="shared" si="0"/>
        <v>10F01 No. de personas de instituciones capacitadas(Categoría: PSEA)</v>
      </c>
    </row>
    <row r="41" spans="1:4" x14ac:dyDescent="0.2">
      <c r="A41" t="s">
        <v>408</v>
      </c>
      <c r="B41" t="s">
        <v>409</v>
      </c>
      <c r="D41" t="str">
        <f t="shared" si="0"/>
        <v>10F02 No. de socios con un plan PSEA de ACNUR mejorado e implementado</v>
      </c>
    </row>
    <row r="42" spans="1:4" x14ac:dyDescent="0.2">
      <c r="A42" t="s">
        <v>410</v>
      </c>
      <c r="B42" t="s">
        <v>411</v>
      </c>
      <c r="D42" t="str">
        <f t="shared" si="0"/>
        <v>10G01 No. de niños, niñas y adolescentes no acompañados y separados identificados</v>
      </c>
    </row>
    <row r="43" spans="1:4" x14ac:dyDescent="0.2">
      <c r="A43" t="s">
        <v>412</v>
      </c>
      <c r="B43" t="s">
        <v>413</v>
      </c>
      <c r="D43" t="str">
        <f t="shared" si="0"/>
        <v>10G02 No. de niños, niñas y adolescentes no acompañados y separados que tienen acceso a modalidades de cuidado alternativo</v>
      </c>
    </row>
    <row r="44" spans="1:4" x14ac:dyDescent="0.2">
      <c r="A44" t="s">
        <v>414</v>
      </c>
      <c r="B44" t="s">
        <v>415</v>
      </c>
      <c r="D44" t="str">
        <f t="shared" si="0"/>
        <v>10G03 No. de niños, niñas y adolescentes no acompañados, separados y en situación de mayor riesgo para los que se ha iniciado la evaluación del interés superior</v>
      </c>
    </row>
    <row r="45" spans="1:4" x14ac:dyDescent="0.2">
      <c r="A45" t="s">
        <v>416</v>
      </c>
      <c r="B45" t="s">
        <v>386</v>
      </c>
      <c r="C45" t="s">
        <v>368</v>
      </c>
      <c r="D45" t="str">
        <f t="shared" si="0"/>
        <v>10G04 No. de personas por las cuales ACNUR trabaja que reciben transferencias monetarias(Categoría: Protección de niñez y adolescencia)</v>
      </c>
    </row>
    <row r="46" spans="1:4" x14ac:dyDescent="0.2">
      <c r="A46" t="s">
        <v>417</v>
      </c>
      <c r="B46" t="s">
        <v>389</v>
      </c>
      <c r="C46" t="s">
        <v>368</v>
      </c>
      <c r="D46" t="str">
        <f t="shared" si="0"/>
        <v>10G05 No. de hogares que reciben transferencias monetarias(Categoría: Protección de niñez y adolescencia)</v>
      </c>
    </row>
    <row r="47" spans="1:4" x14ac:dyDescent="0.2">
      <c r="A47" t="s">
        <v>418</v>
      </c>
      <c r="B47" t="s">
        <v>391</v>
      </c>
      <c r="C47" t="s">
        <v>368</v>
      </c>
      <c r="D47" t="str">
        <f t="shared" si="0"/>
        <v>10G06 No. de transferencias monetarias realizadas(Categoría: Protección de niñez y adolescencia)</v>
      </c>
    </row>
    <row r="48" spans="1:4" x14ac:dyDescent="0.2">
      <c r="A48" t="s">
        <v>419</v>
      </c>
      <c r="B48" t="s">
        <v>420</v>
      </c>
      <c r="C48" t="s">
        <v>368</v>
      </c>
      <c r="D48" t="str">
        <f t="shared" si="0"/>
        <v>10H01 No. instituciones apoyadas con asistencia técnica(Categoría: Protección de niñez y adolescencia)</v>
      </c>
    </row>
    <row r="49" spans="1:4" x14ac:dyDescent="0.2">
      <c r="A49" t="s">
        <v>421</v>
      </c>
      <c r="B49" t="s">
        <v>422</v>
      </c>
      <c r="C49" t="s">
        <v>368</v>
      </c>
      <c r="D49" t="str">
        <f t="shared" si="0"/>
        <v>10I01 No. de personas por las cuales ACNUR trabaja que participan en proyectos de coexistencia pacífica(Categoría: Protección de niñez y adolescencia)</v>
      </c>
    </row>
    <row r="50" spans="1:4" x14ac:dyDescent="0.2">
      <c r="A50" t="s">
        <v>423</v>
      </c>
      <c r="B50" t="s">
        <v>405</v>
      </c>
      <c r="C50" t="s">
        <v>368</v>
      </c>
      <c r="D50" t="str">
        <f t="shared" si="0"/>
        <v>10I02 No. de personas por las cuales ACNUR trabaja y de comunidad de acogida capacitadas(Categoría: Protección de niñez y adolescencia)</v>
      </c>
    </row>
    <row r="51" spans="1:4" x14ac:dyDescent="0.2">
      <c r="A51" t="s">
        <v>424</v>
      </c>
      <c r="B51" t="s">
        <v>341</v>
      </c>
      <c r="C51" t="s">
        <v>425</v>
      </c>
      <c r="D51" t="str">
        <f t="shared" si="0"/>
        <v>10J01 No. de personas de instituciones capacitadas(Categoría: Educación)</v>
      </c>
    </row>
    <row r="52" spans="1:4" x14ac:dyDescent="0.2">
      <c r="A52" t="s">
        <v>426</v>
      </c>
      <c r="B52" t="s">
        <v>427</v>
      </c>
      <c r="D52" t="str">
        <f t="shared" si="0"/>
        <v>10K01 No. de niños y adolescentes con necesidades específicas de protección identificados y remitidos a servicios de protección</v>
      </c>
    </row>
    <row r="53" spans="1:4" x14ac:dyDescent="0.2">
      <c r="A53" t="s">
        <v>428</v>
      </c>
      <c r="B53" t="s">
        <v>429</v>
      </c>
      <c r="D53" t="str">
        <f t="shared" si="0"/>
        <v>10L01 No. de personas por las cuales ACNUR trabaja que reciben kits educativos</v>
      </c>
    </row>
    <row r="54" spans="1:4" x14ac:dyDescent="0.2">
      <c r="A54" t="s">
        <v>430</v>
      </c>
      <c r="B54" t="s">
        <v>431</v>
      </c>
      <c r="D54" t="str">
        <f t="shared" si="0"/>
        <v>10L02 No. de niños, niñas y adolescentes que reciben acompañamiento individual y acceden a la educación</v>
      </c>
    </row>
    <row r="55" spans="1:4" x14ac:dyDescent="0.2">
      <c r="A55" t="s">
        <v>432</v>
      </c>
      <c r="B55" t="s">
        <v>405</v>
      </c>
      <c r="C55" t="s">
        <v>425</v>
      </c>
      <c r="D55" t="str">
        <f t="shared" si="0"/>
        <v>10L03 No. de personas por las cuales ACNUR trabaja y de comunidad de acogida capacitadas(Categoría: Educación)</v>
      </c>
    </row>
    <row r="56" spans="1:4" x14ac:dyDescent="0.2">
      <c r="A56" t="s">
        <v>433</v>
      </c>
      <c r="B56" t="s">
        <v>389</v>
      </c>
      <c r="C56" t="s">
        <v>425</v>
      </c>
      <c r="D56" t="str">
        <f t="shared" si="0"/>
        <v>10L04 No. de hogares que reciben transferencias monetarias(Categoría: Educación)</v>
      </c>
    </row>
    <row r="57" spans="1:4" x14ac:dyDescent="0.2">
      <c r="A57" t="s">
        <v>434</v>
      </c>
      <c r="B57" t="s">
        <v>391</v>
      </c>
      <c r="C57" t="s">
        <v>425</v>
      </c>
      <c r="D57" t="str">
        <f t="shared" si="0"/>
        <v>10L05 No. de transferencias monetarias realizadas(Categoría: Educación)</v>
      </c>
    </row>
    <row r="58" spans="1:4" x14ac:dyDescent="0.2">
      <c r="A58" t="s">
        <v>435</v>
      </c>
      <c r="B58" t="s">
        <v>341</v>
      </c>
      <c r="C58" t="s">
        <v>436</v>
      </c>
      <c r="D58" t="str">
        <f>_xlfn.CONCAT(A58," ",B58, IF(C58&lt;&gt;"",_xlfn.CONCAT("(Categoría: ",C58,")"),""))</f>
        <v>10L06 No. de personas de instituciones capacitadas(Categoría: Apoyo psicosocial)</v>
      </c>
    </row>
    <row r="59" spans="1:4" x14ac:dyDescent="0.2">
      <c r="A59" t="s">
        <v>437</v>
      </c>
      <c r="B59" t="s">
        <v>438</v>
      </c>
      <c r="D59" t="str">
        <f t="shared" si="0"/>
        <v>10L07 No. de personas por las cuales ACNUR trabaja que reciben kits de conectividad</v>
      </c>
    </row>
    <row r="60" spans="1:4" x14ac:dyDescent="0.2">
      <c r="A60" t="s">
        <v>439</v>
      </c>
      <c r="B60" t="s">
        <v>440</v>
      </c>
      <c r="D60" t="str">
        <f t="shared" si="0"/>
        <v>10L08 No. de estudiantes que son remitidos a servicios psicopedagógicos y otros servicios de protección</v>
      </c>
    </row>
    <row r="61" spans="1:4" x14ac:dyDescent="0.2">
      <c r="A61" t="s">
        <v>441</v>
      </c>
      <c r="B61" t="s">
        <v>386</v>
      </c>
      <c r="C61" t="s">
        <v>425</v>
      </c>
      <c r="D61" t="str">
        <f t="shared" si="0"/>
        <v>10L09 No. de personas por las cuales ACNUR trabaja que reciben transferencias monetarias(Categoría: Educación)</v>
      </c>
    </row>
    <row r="62" spans="1:4" x14ac:dyDescent="0.2">
      <c r="A62" t="s">
        <v>442</v>
      </c>
      <c r="B62" t="s">
        <v>443</v>
      </c>
      <c r="D62" t="str">
        <f t="shared" si="0"/>
        <v>10M01 No. de estudiantes beneficiados por la implementación de la metodología Respiramos Inclusión</v>
      </c>
    </row>
    <row r="63" spans="1:4" x14ac:dyDescent="0.2">
      <c r="A63" t="s">
        <v>444</v>
      </c>
      <c r="B63" t="s">
        <v>341</v>
      </c>
      <c r="C63" t="s">
        <v>445</v>
      </c>
      <c r="D63" t="str">
        <f t="shared" si="0"/>
        <v>10M02 No. de personas de instituciones capacitadas(Categoría: Respiramos Inclusión)</v>
      </c>
    </row>
    <row r="64" spans="1:4" x14ac:dyDescent="0.2">
      <c r="A64" t="s">
        <v>446</v>
      </c>
      <c r="B64" t="s">
        <v>447</v>
      </c>
      <c r="D64" t="str">
        <f t="shared" si="0"/>
        <v>10M03 No. de unidades educativas en las que se implementa la metodología de Respiramos Inclusión</v>
      </c>
    </row>
    <row r="65" spans="1:4" x14ac:dyDescent="0.2">
      <c r="A65" t="s">
        <v>448</v>
      </c>
      <c r="B65" t="s">
        <v>341</v>
      </c>
      <c r="C65" t="s">
        <v>449</v>
      </c>
      <c r="D65" t="str">
        <f t="shared" si="0"/>
        <v>10N01 No. de personas de instituciones capacitadas(Categoría: Salud)</v>
      </c>
    </row>
    <row r="66" spans="1:4" x14ac:dyDescent="0.2">
      <c r="A66" t="s">
        <v>450</v>
      </c>
      <c r="B66" t="s">
        <v>451</v>
      </c>
      <c r="D66" t="str">
        <f t="shared" si="0"/>
        <v>10N02 No. de infraestructuras sanitarias construidas, mejoradas o equipadas</v>
      </c>
    </row>
    <row r="67" spans="1:4" x14ac:dyDescent="0.2">
      <c r="A67" t="s">
        <v>452</v>
      </c>
      <c r="B67" t="s">
        <v>453</v>
      </c>
      <c r="D67" t="str">
        <f t="shared" ref="D67:D130" si="1">_xlfn.CONCAT(A67," ",B67, IF(C67&lt;&gt;"",_xlfn.CONCAT("(Categoría: ",C67,")"),""))</f>
        <v>10N03 No. de personas por las cuales ACNUR trabaja apoyadas con la construcción, mejoramiento o equipamiento de infraestructuras sanitarias.</v>
      </c>
    </row>
    <row r="68" spans="1:4" x14ac:dyDescent="0.2">
      <c r="A68" t="s">
        <v>454</v>
      </c>
      <c r="B68" t="s">
        <v>341</v>
      </c>
      <c r="C68" t="s">
        <v>455</v>
      </c>
      <c r="D68" t="str">
        <f t="shared" si="1"/>
        <v>10N04 No. de personas de instituciones capacitadas(Categoría: Salud sexual y reproductiva)</v>
      </c>
    </row>
    <row r="69" spans="1:4" x14ac:dyDescent="0.2">
      <c r="A69" t="s">
        <v>456</v>
      </c>
      <c r="B69" t="s">
        <v>457</v>
      </c>
      <c r="C69" t="s">
        <v>455</v>
      </c>
      <c r="D69" t="str">
        <f t="shared" si="1"/>
        <v>10O01 No. de personas por las cuales ACNUR trabaja que reciben kits de higiene(Categoría: Salud sexual y reproductiva)</v>
      </c>
    </row>
    <row r="70" spans="1:4" x14ac:dyDescent="0.2">
      <c r="A70" t="s">
        <v>458</v>
      </c>
      <c r="B70" t="s">
        <v>459</v>
      </c>
      <c r="D70" t="str">
        <f t="shared" si="1"/>
        <v>10O02 No. de preservativos distribuidos</v>
      </c>
    </row>
    <row r="71" spans="1:4" x14ac:dyDescent="0.2">
      <c r="A71" t="s">
        <v>460</v>
      </c>
      <c r="B71" t="s">
        <v>461</v>
      </c>
      <c r="D71" t="str">
        <f t="shared" si="1"/>
        <v>10O03 No. de personas opr las cuales ACNUR trabaja que se someten a la prueba del VIH</v>
      </c>
    </row>
    <row r="72" spans="1:4" x14ac:dyDescent="0.2">
      <c r="A72" t="s">
        <v>462</v>
      </c>
      <c r="B72" t="s">
        <v>463</v>
      </c>
      <c r="D72" t="str">
        <f t="shared" si="1"/>
        <v>10P01 No. de promotores de salud apoyados</v>
      </c>
    </row>
    <row r="73" spans="1:4" x14ac:dyDescent="0.2">
      <c r="A73" t="s">
        <v>464</v>
      </c>
      <c r="B73" t="s">
        <v>405</v>
      </c>
      <c r="C73" t="s">
        <v>455</v>
      </c>
      <c r="D73" t="str">
        <f t="shared" si="1"/>
        <v>10P02 No. de personas por las cuales ACNUR trabaja y de comunidad de acogida capacitadas(Categoría: Salud sexual y reproductiva)</v>
      </c>
    </row>
    <row r="74" spans="1:4" x14ac:dyDescent="0.2">
      <c r="A74" t="s">
        <v>465</v>
      </c>
      <c r="B74" t="s">
        <v>466</v>
      </c>
      <c r="C74" t="s">
        <v>467</v>
      </c>
      <c r="D74" t="str">
        <f t="shared" si="1"/>
        <v>10Q01 No. de personas por las cuales ACNUR trabaja registradas individualmente en proGres con el mínimo conjunto de datos requerido(Categoría: ACNUR, HIAS, NRC y PLAN)</v>
      </c>
    </row>
    <row r="75" spans="1:4" x14ac:dyDescent="0.2">
      <c r="A75" t="s">
        <v>468</v>
      </c>
      <c r="B75" t="s">
        <v>469</v>
      </c>
      <c r="D75" t="str">
        <f t="shared" si="1"/>
        <v>10Q02 No. de socios que utilizan una misma base de datos para registras a las personas por las cuales ACNUR trabaja</v>
      </c>
    </row>
    <row r="76" spans="1:4" x14ac:dyDescent="0.2">
      <c r="A76" t="s">
        <v>470</v>
      </c>
      <c r="B76" t="s">
        <v>386</v>
      </c>
      <c r="C76" t="s">
        <v>471</v>
      </c>
      <c r="D76" t="str">
        <f t="shared" si="1"/>
        <v>10R01 No. de personas por las cuales ACNUR trabaja que reciben transferencias monetarias(Categoría: Multipropósito - necesidades básicas)</v>
      </c>
    </row>
    <row r="77" spans="1:4" x14ac:dyDescent="0.2">
      <c r="A77" t="s">
        <v>472</v>
      </c>
      <c r="B77" t="s">
        <v>389</v>
      </c>
      <c r="C77" t="s">
        <v>471</v>
      </c>
      <c r="D77" t="str">
        <f t="shared" si="1"/>
        <v>10R02 No. de hogares que reciben transferencias monetarias(Categoría: Multipropósito - necesidades básicas)</v>
      </c>
    </row>
    <row r="78" spans="1:4" x14ac:dyDescent="0.2">
      <c r="A78" t="s">
        <v>473</v>
      </c>
      <c r="B78" t="s">
        <v>391</v>
      </c>
      <c r="C78" t="s">
        <v>471</v>
      </c>
      <c r="D78" t="str">
        <f t="shared" si="1"/>
        <v>10R03 No. de transferencias monetarias realizadas(Categoría: Multipropósito - necesidades básicas)</v>
      </c>
    </row>
    <row r="79" spans="1:4" x14ac:dyDescent="0.2">
      <c r="A79" t="s">
        <v>474</v>
      </c>
      <c r="B79" t="s">
        <v>386</v>
      </c>
      <c r="C79" t="s">
        <v>475</v>
      </c>
      <c r="D79" t="str">
        <f t="shared" si="1"/>
        <v>10R04 No. de personas por las cuales ACNUR trabaja que reciben transferencias monetarias(Categoría: Necesidades específicas)</v>
      </c>
    </row>
    <row r="80" spans="1:4" x14ac:dyDescent="0.2">
      <c r="A80" t="s">
        <v>476</v>
      </c>
      <c r="B80" t="s">
        <v>389</v>
      </c>
      <c r="C80" t="s">
        <v>475</v>
      </c>
      <c r="D80" t="str">
        <f t="shared" si="1"/>
        <v>10R05 No. de hogares que reciben transferencias monetarias(Categoría: Necesidades específicas)</v>
      </c>
    </row>
    <row r="81" spans="1:4" x14ac:dyDescent="0.2">
      <c r="A81" t="s">
        <v>477</v>
      </c>
      <c r="B81" t="s">
        <v>391</v>
      </c>
      <c r="C81" t="s">
        <v>475</v>
      </c>
      <c r="D81" t="str">
        <f t="shared" si="1"/>
        <v>10R06 No. de transferencias monetarias realizadas(Categoría: Necesidades específicas)</v>
      </c>
    </row>
    <row r="82" spans="1:4" x14ac:dyDescent="0.2">
      <c r="A82" t="s">
        <v>478</v>
      </c>
      <c r="B82" t="s">
        <v>479</v>
      </c>
      <c r="D82" t="str">
        <f t="shared" si="1"/>
        <v>10S01 No. de unidades habitacionales construidas, mejoradas o equipadas</v>
      </c>
    </row>
    <row r="83" spans="1:4" x14ac:dyDescent="0.2">
      <c r="A83" t="s">
        <v>480</v>
      </c>
      <c r="B83" t="s">
        <v>481</v>
      </c>
      <c r="D83" t="str">
        <f t="shared" si="1"/>
        <v>10S02 No. de hogares que reciben kits de habitabilidad o artículos básicos de vivienda</v>
      </c>
    </row>
    <row r="84" spans="1:4" x14ac:dyDescent="0.2">
      <c r="A84" t="s">
        <v>482</v>
      </c>
      <c r="B84" t="s">
        <v>483</v>
      </c>
      <c r="D84" t="str">
        <f t="shared" si="1"/>
        <v>10S03 No. de personas por las cuales ACNUR trabaja apoyadas con la construcción, mejoramiento de infraestructura o equipamiento de unidades habitacionales</v>
      </c>
    </row>
    <row r="85" spans="1:4" x14ac:dyDescent="0.2">
      <c r="A85" t="s">
        <v>484</v>
      </c>
      <c r="B85" t="s">
        <v>485</v>
      </c>
      <c r="D85" t="str">
        <f t="shared" si="1"/>
        <v>10S04 No. de personas por las cuales ACNUR trabaja que reciben kits de habitabilidad o artículos básicos de vivienda</v>
      </c>
    </row>
    <row r="86" spans="1:4" x14ac:dyDescent="0.2">
      <c r="A86" t="s">
        <v>486</v>
      </c>
      <c r="B86" t="s">
        <v>487</v>
      </c>
      <c r="D86" t="str">
        <f t="shared" si="1"/>
        <v>10U01 No. de productos de gestión de la información generados</v>
      </c>
    </row>
    <row r="87" spans="1:4" x14ac:dyDescent="0.2">
      <c r="A87" t="s">
        <v>488</v>
      </c>
      <c r="B87" t="s">
        <v>457</v>
      </c>
      <c r="C87" t="s">
        <v>489</v>
      </c>
      <c r="D87" t="str">
        <f t="shared" si="1"/>
        <v>10W01 No. de personas por las cuales ACNUR trabaja que reciben kits de higiene(Categoría: Masculino)</v>
      </c>
    </row>
    <row r="88" spans="1:4" x14ac:dyDescent="0.2">
      <c r="A88" t="s">
        <v>490</v>
      </c>
      <c r="B88" t="s">
        <v>457</v>
      </c>
      <c r="C88" t="s">
        <v>491</v>
      </c>
      <c r="D88" t="str">
        <f t="shared" si="1"/>
        <v>10W02 No. de personas por las cuales ACNUR trabaja que reciben kits de higiene(Categoría: Femenino)</v>
      </c>
    </row>
    <row r="89" spans="1:4" x14ac:dyDescent="0.2">
      <c r="A89" t="s">
        <v>492</v>
      </c>
      <c r="B89" t="s">
        <v>457</v>
      </c>
      <c r="C89" t="s">
        <v>493</v>
      </c>
      <c r="D89" t="str">
        <f t="shared" si="1"/>
        <v>10W03 No. de personas por las cuales ACNUR trabaja que reciben kits de higiene(Categoría: Bebé)</v>
      </c>
    </row>
    <row r="90" spans="1:4" x14ac:dyDescent="0.2">
      <c r="A90" t="s">
        <v>494</v>
      </c>
      <c r="B90" t="s">
        <v>457</v>
      </c>
      <c r="C90" t="s">
        <v>495</v>
      </c>
      <c r="D90" t="str">
        <f t="shared" si="1"/>
        <v>10W04 No. de personas por las cuales ACNUR trabaja que reciben kits de higiene(Categoría: Dignidad)</v>
      </c>
    </row>
    <row r="91" spans="1:4" x14ac:dyDescent="0.2">
      <c r="A91" t="s">
        <v>496</v>
      </c>
      <c r="B91" t="s">
        <v>457</v>
      </c>
      <c r="C91" t="s">
        <v>497</v>
      </c>
      <c r="D91" t="str">
        <f t="shared" si="1"/>
        <v>10W05 No. de personas por las cuales ACNUR trabaja que reciben kits de higiene(Categoría: Personas en tránsito)</v>
      </c>
    </row>
    <row r="92" spans="1:4" x14ac:dyDescent="0.2">
      <c r="A92" t="s">
        <v>498</v>
      </c>
      <c r="B92" t="s">
        <v>499</v>
      </c>
      <c r="D92" t="str">
        <f t="shared" si="1"/>
        <v>10X01 Porcentaje de financiamiento alcanzado sobre presupuesto</v>
      </c>
    </row>
    <row r="93" spans="1:4" x14ac:dyDescent="0.2">
      <c r="A93" t="s">
        <v>500</v>
      </c>
      <c r="B93" t="s">
        <v>501</v>
      </c>
      <c r="D93" t="str">
        <f t="shared" si="1"/>
        <v>10X02 No. de propuestas de proyectos presentadas a potenciales donantes</v>
      </c>
    </row>
    <row r="94" spans="1:4" x14ac:dyDescent="0.2">
      <c r="A94" t="s">
        <v>502</v>
      </c>
      <c r="B94" t="s">
        <v>503</v>
      </c>
      <c r="D94" t="str">
        <f t="shared" si="1"/>
        <v>10Y01 No. de personas por las cuales ACNUR trabaja o de la comunidad de acogida que se benefician de los proyectos de acción climática</v>
      </c>
    </row>
    <row r="95" spans="1:4" x14ac:dyDescent="0.2">
      <c r="A95" t="s">
        <v>504</v>
      </c>
      <c r="B95" t="s">
        <v>505</v>
      </c>
      <c r="D95" t="str">
        <f t="shared" si="1"/>
        <v>10Z01 No. de personas por las cuales ACNUR trabaja identificadas para reasentamiento</v>
      </c>
    </row>
    <row r="96" spans="1:4" x14ac:dyDescent="0.2">
      <c r="A96" t="s">
        <v>506</v>
      </c>
      <c r="B96" t="s">
        <v>507</v>
      </c>
      <c r="D96" t="str">
        <f t="shared" si="1"/>
        <v>10Z02 No. de personas por las cuales ACNUR trabaja reasentadas</v>
      </c>
    </row>
    <row r="97" spans="1:4" x14ac:dyDescent="0.2">
      <c r="A97" t="s">
        <v>508</v>
      </c>
      <c r="B97" t="s">
        <v>509</v>
      </c>
      <c r="D97" t="str">
        <f t="shared" si="1"/>
        <v>10Z03 No. de personas por las cuales ACNUR trabaja identificadas para reasentamiento que reciben asistencia para el proceso</v>
      </c>
    </row>
    <row r="98" spans="1:4" x14ac:dyDescent="0.2">
      <c r="A98" t="s">
        <v>510</v>
      </c>
      <c r="B98" t="s">
        <v>386</v>
      </c>
      <c r="C98" t="s">
        <v>511</v>
      </c>
      <c r="D98" t="str">
        <f t="shared" si="1"/>
        <v>10Z04 No. de personas por las cuales ACNUR trabaja que reciben transferencias monetarias(Categoría: Reasentamiento)</v>
      </c>
    </row>
    <row r="99" spans="1:4" x14ac:dyDescent="0.2">
      <c r="A99" t="s">
        <v>512</v>
      </c>
      <c r="B99" t="s">
        <v>389</v>
      </c>
      <c r="C99" t="s">
        <v>511</v>
      </c>
      <c r="D99" t="str">
        <f t="shared" si="1"/>
        <v>10Z05 No. de hogares que reciben transferencias monetarias(Categoría: Reasentamiento)</v>
      </c>
    </row>
    <row r="100" spans="1:4" x14ac:dyDescent="0.2">
      <c r="A100" t="s">
        <v>513</v>
      </c>
      <c r="B100" t="s">
        <v>391</v>
      </c>
      <c r="C100" t="s">
        <v>511</v>
      </c>
      <c r="D100" t="str">
        <f t="shared" si="1"/>
        <v>10Z06 No. de transferencias monetarias realizadas(Categoría: Reasentamiento)</v>
      </c>
    </row>
    <row r="101" spans="1:4" x14ac:dyDescent="0.2">
      <c r="A101" t="s">
        <v>514</v>
      </c>
      <c r="B101" t="s">
        <v>515</v>
      </c>
      <c r="D101" t="str">
        <f t="shared" si="1"/>
        <v>11101 No. de personas por las cuales ACNUR trabaja por los programas de movilidad laboral</v>
      </c>
    </row>
    <row r="102" spans="1:4" x14ac:dyDescent="0.2">
      <c r="A102" t="s">
        <v>516</v>
      </c>
      <c r="B102" t="s">
        <v>517</v>
      </c>
      <c r="D102" t="str">
        <f t="shared" si="1"/>
        <v>11102 No. de personas por las cuales ACNUR trabaja reasentadas con éxito a través de programas de movilidad laboral</v>
      </c>
    </row>
    <row r="103" spans="1:4" x14ac:dyDescent="0.2">
      <c r="A103" t="s">
        <v>518</v>
      </c>
      <c r="B103" t="s">
        <v>519</v>
      </c>
      <c r="D103" t="str">
        <f t="shared" si="1"/>
        <v>11201 No. de personas por las cuales ACNUR trabaja que acceden a crédito productivo en instituciones financieras</v>
      </c>
    </row>
    <row r="104" spans="1:4" x14ac:dyDescent="0.2">
      <c r="A104" t="s">
        <v>520</v>
      </c>
      <c r="B104" t="s">
        <v>521</v>
      </c>
      <c r="D104" t="str">
        <f t="shared" si="1"/>
        <v>11202 No. de personas por las cuales ACNUR trabaja que finalizan procesos de educación financiera</v>
      </c>
    </row>
    <row r="105" spans="1:4" x14ac:dyDescent="0.2">
      <c r="A105" t="s">
        <v>522</v>
      </c>
      <c r="B105" t="s">
        <v>523</v>
      </c>
      <c r="D105" t="str">
        <f t="shared" si="1"/>
        <v>11203 No. de personas por las cuales ACNUR trabaja que abren cuentas bancaria</v>
      </c>
    </row>
    <row r="106" spans="1:4" x14ac:dyDescent="0.2">
      <c r="A106" t="s">
        <v>524</v>
      </c>
      <c r="B106" t="s">
        <v>386</v>
      </c>
      <c r="C106" t="s">
        <v>525</v>
      </c>
      <c r="D106" t="str">
        <f t="shared" si="1"/>
        <v>11204 No. de personas por las cuales ACNUR trabaja que reciben transferencias monetarias(Categoría: Inclusión Financiera)</v>
      </c>
    </row>
    <row r="107" spans="1:4" x14ac:dyDescent="0.2">
      <c r="A107" t="s">
        <v>526</v>
      </c>
      <c r="B107" t="s">
        <v>391</v>
      </c>
      <c r="C107" t="s">
        <v>525</v>
      </c>
      <c r="D107" t="str">
        <f t="shared" si="1"/>
        <v>11205 No. de transferencias monetarias realizadas(Categoría: Inclusión Financiera)</v>
      </c>
    </row>
    <row r="108" spans="1:4" x14ac:dyDescent="0.2">
      <c r="A108" t="s">
        <v>527</v>
      </c>
      <c r="B108" t="s">
        <v>389</v>
      </c>
      <c r="C108" t="s">
        <v>525</v>
      </c>
      <c r="D108" t="str">
        <f t="shared" si="1"/>
        <v>11206 No. de hogares que reciben transferencias monetarias(Categoría: Inclusión Financiera)</v>
      </c>
    </row>
    <row r="109" spans="1:4" x14ac:dyDescent="0.2">
      <c r="A109" t="s">
        <v>528</v>
      </c>
      <c r="B109" t="s">
        <v>529</v>
      </c>
      <c r="D109" t="str">
        <f t="shared" si="1"/>
        <v>11301 No. de personas por las cuales ACNUR trabaja certificadas en capacitación técnica y vocacional</v>
      </c>
    </row>
    <row r="110" spans="1:4" x14ac:dyDescent="0.2">
      <c r="A110" t="s">
        <v>530</v>
      </c>
      <c r="B110" t="s">
        <v>531</v>
      </c>
      <c r="D110" t="str">
        <f t="shared" si="1"/>
        <v>11302 No. de personas por las cuales ACNUR trabaja asistidas para obtener el reconocomiento de títulos o competencias de su país de origen</v>
      </c>
    </row>
    <row r="111" spans="1:4" x14ac:dyDescent="0.2">
      <c r="A111" t="s">
        <v>532</v>
      </c>
      <c r="B111" t="s">
        <v>386</v>
      </c>
      <c r="C111" t="s">
        <v>533</v>
      </c>
      <c r="D111" t="str">
        <f t="shared" si="1"/>
        <v>11303 No. de personas por las cuales ACNUR trabaja que reciben transferencias monetarias(Categoría: Becas)</v>
      </c>
    </row>
    <row r="112" spans="1:4" x14ac:dyDescent="0.2">
      <c r="A112" t="s">
        <v>534</v>
      </c>
      <c r="B112" t="s">
        <v>391</v>
      </c>
      <c r="C112" t="s">
        <v>533</v>
      </c>
      <c r="D112" t="str">
        <f t="shared" si="1"/>
        <v>11304 No. de transferencias monetarias realizadas(Categoría: Becas)</v>
      </c>
    </row>
    <row r="113" spans="1:4" x14ac:dyDescent="0.2">
      <c r="A113" t="s">
        <v>535</v>
      </c>
      <c r="B113" t="s">
        <v>389</v>
      </c>
      <c r="C113" t="s">
        <v>533</v>
      </c>
      <c r="D113" t="str">
        <f t="shared" si="1"/>
        <v>11305 No. de hogares que reciben transferencias monetarias(Categoría: Becas)</v>
      </c>
    </row>
    <row r="114" spans="1:4" x14ac:dyDescent="0.2">
      <c r="A114" t="s">
        <v>536</v>
      </c>
      <c r="B114" t="s">
        <v>386</v>
      </c>
      <c r="C114" t="s">
        <v>537</v>
      </c>
      <c r="D114" t="str">
        <f t="shared" si="1"/>
        <v>11306 No. de personas por las cuales ACNUR trabaja que reciben transferencias monetarias(Categoría: Cash for training)</v>
      </c>
    </row>
    <row r="115" spans="1:4" x14ac:dyDescent="0.2">
      <c r="A115" t="s">
        <v>538</v>
      </c>
      <c r="B115" t="s">
        <v>391</v>
      </c>
      <c r="C115" t="s">
        <v>537</v>
      </c>
      <c r="D115" t="str">
        <f t="shared" si="1"/>
        <v>11307 No. de transferencias monetarias realizadas(Categoría: Cash for training)</v>
      </c>
    </row>
    <row r="116" spans="1:4" x14ac:dyDescent="0.2">
      <c r="A116" t="s">
        <v>539</v>
      </c>
      <c r="B116" t="s">
        <v>389</v>
      </c>
      <c r="C116" t="s">
        <v>537</v>
      </c>
      <c r="D116" t="str">
        <f t="shared" si="1"/>
        <v>11308 No. de hogares que reciben transferencias monetarias(Categoría: Cash for training)</v>
      </c>
    </row>
    <row r="117" spans="1:4" x14ac:dyDescent="0.2">
      <c r="A117" t="s">
        <v>540</v>
      </c>
      <c r="B117" t="s">
        <v>386</v>
      </c>
      <c r="C117" t="s">
        <v>541</v>
      </c>
      <c r="D117" t="str">
        <f t="shared" si="1"/>
        <v>11401 No. de personas por las cuales ACNUR trabaja que reciben transferencias monetarias(Categoría: Apoyo al consumo MDG)</v>
      </c>
    </row>
    <row r="118" spans="1:4" x14ac:dyDescent="0.2">
      <c r="A118" t="s">
        <v>542</v>
      </c>
      <c r="B118" t="s">
        <v>391</v>
      </c>
      <c r="C118" t="s">
        <v>541</v>
      </c>
      <c r="D118" t="str">
        <f t="shared" si="1"/>
        <v>11402 No. de transferencias monetarias realizadas(Categoría: Apoyo al consumo MDG)</v>
      </c>
    </row>
    <row r="119" spans="1:4" x14ac:dyDescent="0.2">
      <c r="A119" t="s">
        <v>543</v>
      </c>
      <c r="B119" t="s">
        <v>389</v>
      </c>
      <c r="C119" t="s">
        <v>541</v>
      </c>
      <c r="D119" t="str">
        <f t="shared" si="1"/>
        <v>11403 No. de hogares que reciben transferencias monetarias(Categoría: Apoyo al consumo MDG)</v>
      </c>
    </row>
    <row r="120" spans="1:4" x14ac:dyDescent="0.2">
      <c r="A120" t="s">
        <v>544</v>
      </c>
      <c r="B120" t="s">
        <v>545</v>
      </c>
      <c r="D120" t="str">
        <f t="shared" si="1"/>
        <v>11404 No. de personas por las cuales ACNUR trabaja que reciben orientación para el empleo</v>
      </c>
    </row>
    <row r="121" spans="1:4" x14ac:dyDescent="0.2">
      <c r="A121" t="s">
        <v>546</v>
      </c>
      <c r="B121" t="s">
        <v>547</v>
      </c>
      <c r="D121" t="str">
        <f t="shared" si="1"/>
        <v>11405 No. de personas por las cuales ACNUR trabaja en bolsas de empleo</v>
      </c>
    </row>
    <row r="122" spans="1:4" x14ac:dyDescent="0.2">
      <c r="A122" t="s">
        <v>548</v>
      </c>
      <c r="B122" t="s">
        <v>549</v>
      </c>
      <c r="D122" t="str">
        <f t="shared" si="1"/>
        <v>11406 No. de personas por las cuales ACNUR trabaja que finalizan programas de MdV</v>
      </c>
    </row>
    <row r="123" spans="1:4" x14ac:dyDescent="0.2">
      <c r="A123" t="s">
        <v>550</v>
      </c>
      <c r="B123" t="s">
        <v>551</v>
      </c>
      <c r="D123" t="str">
        <f t="shared" si="1"/>
        <v>11407 No. de personas por las cuales ACNUR trabaja que finalizan capacitación empresarial/de negocios</v>
      </c>
    </row>
    <row r="124" spans="1:4" x14ac:dyDescent="0.2">
      <c r="A124" t="s">
        <v>552</v>
      </c>
      <c r="B124" t="s">
        <v>386</v>
      </c>
      <c r="C124" t="s">
        <v>553</v>
      </c>
      <c r="D124" t="str">
        <f t="shared" si="1"/>
        <v>11408 No. de personas por las cuales ACNUR trabaja que reciben transferencias monetarias(Categoría: Capital financiero)</v>
      </c>
    </row>
    <row r="125" spans="1:4" x14ac:dyDescent="0.2">
      <c r="A125" t="s">
        <v>554</v>
      </c>
      <c r="B125" t="s">
        <v>391</v>
      </c>
      <c r="C125" t="s">
        <v>553</v>
      </c>
      <c r="D125" t="str">
        <f t="shared" si="1"/>
        <v>11409 No. de transferencias monetarias realizadas(Categoría: Capital financiero)</v>
      </c>
    </row>
    <row r="126" spans="1:4" x14ac:dyDescent="0.2">
      <c r="A126" t="s">
        <v>555</v>
      </c>
      <c r="B126" t="s">
        <v>389</v>
      </c>
      <c r="C126" t="s">
        <v>553</v>
      </c>
      <c r="D126" t="str">
        <f t="shared" si="1"/>
        <v>11410 No. de hogares que reciben transferencias monetarias(Categoría: Capital financiero)</v>
      </c>
    </row>
    <row r="127" spans="1:4" x14ac:dyDescent="0.2">
      <c r="A127" t="s">
        <v>556</v>
      </c>
      <c r="B127" t="s">
        <v>557</v>
      </c>
      <c r="D127" t="str">
        <f t="shared" si="1"/>
        <v>11411 No. de asociaciones y/o grupos productivos apoyados</v>
      </c>
    </row>
    <row r="128" spans="1:4" x14ac:dyDescent="0.2">
      <c r="A128" t="s">
        <v>558</v>
      </c>
      <c r="B128" t="s">
        <v>559</v>
      </c>
      <c r="D128" t="str">
        <f t="shared" si="1"/>
        <v>11412 No. de personas por las cuales ACNUR trabaja con emprendimientos apoyados para vinculación al mercado y/o comercialización</v>
      </c>
    </row>
    <row r="129" spans="1:4" x14ac:dyDescent="0.2">
      <c r="A129" t="s">
        <v>560</v>
      </c>
      <c r="B129" t="s">
        <v>561</v>
      </c>
      <c r="D129" t="str">
        <f t="shared" si="1"/>
        <v>11501 No. de personas por las cuales ACNUR trabaja comprometidas o empleadas en iniciativas ecológicas</v>
      </c>
    </row>
    <row r="130" spans="1:4" x14ac:dyDescent="0.2">
      <c r="A130" t="s">
        <v>562</v>
      </c>
      <c r="B130" t="s">
        <v>563</v>
      </c>
      <c r="D130" t="str">
        <f t="shared" si="1"/>
        <v>11502 No. de iniciativas ecológicas apoyadas</v>
      </c>
    </row>
    <row r="131" spans="1:4" x14ac:dyDescent="0.2">
      <c r="A131" t="s">
        <v>564</v>
      </c>
      <c r="B131" t="s">
        <v>386</v>
      </c>
      <c r="C131" t="s">
        <v>565</v>
      </c>
      <c r="D131" t="str">
        <f t="shared" ref="D131:D154" si="2">_xlfn.CONCAT(A131," ",B131, IF(C131&lt;&gt;"",_xlfn.CONCAT("(Categoría: ",C131,")"),""))</f>
        <v>11503 No. de personas por las cuales ACNUR trabaja que reciben transferencias monetarias(Categoría: Economía circular)</v>
      </c>
    </row>
    <row r="132" spans="1:4" x14ac:dyDescent="0.2">
      <c r="A132" t="s">
        <v>566</v>
      </c>
      <c r="B132" t="s">
        <v>391</v>
      </c>
      <c r="C132" t="s">
        <v>565</v>
      </c>
      <c r="D132" t="str">
        <f t="shared" si="2"/>
        <v>11504 No. de transferencias monetarias realizadas(Categoría: Economía circular)</v>
      </c>
    </row>
    <row r="133" spans="1:4" x14ac:dyDescent="0.2">
      <c r="A133" t="s">
        <v>567</v>
      </c>
      <c r="B133" t="s">
        <v>389</v>
      </c>
      <c r="C133" t="s">
        <v>565</v>
      </c>
      <c r="D133" t="str">
        <f t="shared" si="2"/>
        <v>11505 No. de hogares que reciben transferencias monetarias(Categoría: Economía circular)</v>
      </c>
    </row>
    <row r="134" spans="1:4" x14ac:dyDescent="0.2">
      <c r="A134" t="s">
        <v>568</v>
      </c>
      <c r="B134" t="s">
        <v>569</v>
      </c>
      <c r="D134" t="str">
        <f t="shared" si="2"/>
        <v>11601 No. de productos de visibilidad y sensibilización generados para el ejercicio de derechos laborales y de inclusión económica en medios de vida</v>
      </c>
    </row>
    <row r="135" spans="1:4" x14ac:dyDescent="0.2">
      <c r="A135" t="s">
        <v>570</v>
      </c>
      <c r="B135" t="s">
        <v>571</v>
      </c>
      <c r="D135" t="str">
        <f t="shared" si="2"/>
        <v>11701 No. instituciones de los sectores público o privado, u organizaciones de la sociedad civil que cooperan para la inclusión económica de personas por las cuales ACNUR trabaja</v>
      </c>
    </row>
    <row r="136" spans="1:4" x14ac:dyDescent="0.2">
      <c r="A136" t="s">
        <v>572</v>
      </c>
      <c r="B136" t="s">
        <v>573</v>
      </c>
      <c r="D136" t="str">
        <f t="shared" si="2"/>
        <v>11702 No. de funcionarios y/o personal de instituciones públicas, privadas y de la sociedad civil, capacitados y sensibilizados en la inclusión socioeconómica de personas por las cuales ACNUR trabaja</v>
      </c>
    </row>
    <row r="137" spans="1:4" x14ac:dyDescent="0.2">
      <c r="A137" t="s">
        <v>574</v>
      </c>
      <c r="B137" t="s">
        <v>575</v>
      </c>
      <c r="D137" t="str">
        <f t="shared" si="2"/>
        <v>11801 No. de estructuras interagenciales de coordinación del GTRM activas</v>
      </c>
    </row>
    <row r="138" spans="1:4" x14ac:dyDescent="0.2">
      <c r="A138" t="s">
        <v>576</v>
      </c>
      <c r="B138" t="s">
        <v>577</v>
      </c>
      <c r="D138" t="str">
        <f t="shared" si="2"/>
        <v>11901 No. de organizaciones comunitarias de base y redes locales apoyadas para fortalecer los mecanismos comunitarios de protección</v>
      </c>
    </row>
    <row r="139" spans="1:4" x14ac:dyDescent="0.2">
      <c r="A139" t="s">
        <v>578</v>
      </c>
      <c r="B139" t="s">
        <v>579</v>
      </c>
      <c r="D139" t="str">
        <f t="shared" si="2"/>
        <v>11902 No. de personas por las cuales ACNUR trabaja que participan en las estructuras de decisión de las organizaciones comunitarias apoyadas</v>
      </c>
    </row>
    <row r="140" spans="1:4" x14ac:dyDescent="0.2">
      <c r="A140" t="s">
        <v>580</v>
      </c>
      <c r="B140" t="s">
        <v>581</v>
      </c>
      <c r="D140" t="str">
        <f t="shared" si="2"/>
        <v>11A01 No. de organizaciones comunitarias involucradas en proyectos de coexistencia pacífica</v>
      </c>
    </row>
    <row r="141" spans="1:4" x14ac:dyDescent="0.2">
      <c r="A141" t="s">
        <v>582</v>
      </c>
      <c r="B141" t="s">
        <v>422</v>
      </c>
      <c r="C141" t="s">
        <v>402</v>
      </c>
      <c r="D141" t="str">
        <f t="shared" si="2"/>
        <v>11A02 No. de personas por las cuales ACNUR trabaja que participan en proyectos de coexistencia pacífica(Categoría: General)</v>
      </c>
    </row>
    <row r="142" spans="1:4" x14ac:dyDescent="0.2">
      <c r="A142" t="s">
        <v>583</v>
      </c>
      <c r="B142" t="s">
        <v>584</v>
      </c>
      <c r="D142" t="str">
        <f t="shared" si="2"/>
        <v>11A03 No. de personas por las cuales ACNUR trabaja involucradas en diagnósticos participativos</v>
      </c>
    </row>
    <row r="143" spans="1:4" x14ac:dyDescent="0.2">
      <c r="A143" t="s">
        <v>585</v>
      </c>
      <c r="B143" t="s">
        <v>386</v>
      </c>
      <c r="C143" t="s">
        <v>586</v>
      </c>
      <c r="D143" t="str">
        <f t="shared" si="2"/>
        <v>11A04 No. de personas por las cuales ACNUR trabaja que reciben transferencias monetarias(Categoría: Movilización comunitaria)</v>
      </c>
    </row>
    <row r="144" spans="1:4" x14ac:dyDescent="0.2">
      <c r="A144" t="s">
        <v>587</v>
      </c>
      <c r="B144" t="s">
        <v>391</v>
      </c>
      <c r="C144" t="s">
        <v>586</v>
      </c>
      <c r="D144" t="str">
        <f t="shared" si="2"/>
        <v>11A05 No. de transferencias monetarias realizadas(Categoría: Movilización comunitaria)</v>
      </c>
    </row>
    <row r="145" spans="1:4" x14ac:dyDescent="0.2">
      <c r="A145" t="s">
        <v>588</v>
      </c>
      <c r="B145" t="s">
        <v>389</v>
      </c>
      <c r="C145" t="s">
        <v>586</v>
      </c>
      <c r="D145" t="str">
        <f t="shared" si="2"/>
        <v>11A06 No. de hogares que reciben transferencias monetarias(Categoría: Movilización comunitaria)</v>
      </c>
    </row>
    <row r="146" spans="1:4" x14ac:dyDescent="0.2">
      <c r="A146" t="s">
        <v>589</v>
      </c>
      <c r="B146" t="s">
        <v>590</v>
      </c>
      <c r="D146" t="str">
        <f t="shared" si="2"/>
        <v>11B02 No. de infraestructuras comunitarias construidas, mejoradas o equipadas</v>
      </c>
    </row>
    <row r="147" spans="1:4" x14ac:dyDescent="0.2">
      <c r="A147" t="s">
        <v>591</v>
      </c>
      <c r="B147" t="s">
        <v>592</v>
      </c>
      <c r="D147" t="str">
        <f t="shared" si="2"/>
        <v>11C01 No. de instituciones locales, nacionales y comunidades asistidas para garantizar que las personas por las cuales ACNUR trabaja se integren en iniciativas de riesgo climático</v>
      </c>
    </row>
    <row r="148" spans="1:4" x14ac:dyDescent="0.2">
      <c r="A148" t="s">
        <v>593</v>
      </c>
      <c r="B148" t="s">
        <v>594</v>
      </c>
      <c r="D148" t="str">
        <f t="shared" si="2"/>
        <v>11D01 No. de personas por las cuales ACNUR trabaja usuarias de la herramienta chatbot ACNUR</v>
      </c>
    </row>
    <row r="149" spans="1:4" x14ac:dyDescent="0.2">
      <c r="A149" t="s">
        <v>595</v>
      </c>
      <c r="B149" t="s">
        <v>596</v>
      </c>
      <c r="D149" t="str">
        <f t="shared" si="2"/>
        <v>11D02 No. de visitas a la plataforma help.unhcr.org</v>
      </c>
    </row>
    <row r="150" spans="1:4" x14ac:dyDescent="0.2">
      <c r="A150" t="s">
        <v>597</v>
      </c>
      <c r="B150" t="s">
        <v>598</v>
      </c>
      <c r="D150" t="str">
        <f t="shared" si="2"/>
        <v>11D03 No. de denuncias/quejas recibidas a través de los canales de información de ACNUR</v>
      </c>
    </row>
    <row r="151" spans="1:4" x14ac:dyDescent="0.2">
      <c r="A151" t="s">
        <v>599</v>
      </c>
      <c r="B151" t="s">
        <v>600</v>
      </c>
      <c r="D151" t="str">
        <f t="shared" si="2"/>
        <v>11E01 No. de usuarios alcanzados a través de redes sociales nacionales</v>
      </c>
    </row>
    <row r="152" spans="1:4" x14ac:dyDescent="0.2">
      <c r="A152" t="s">
        <v>601</v>
      </c>
      <c r="B152" t="s">
        <v>602</v>
      </c>
      <c r="D152" t="str">
        <f t="shared" si="2"/>
        <v>11E02 No. de productos de prensa nacional que mencionan al ACNUR</v>
      </c>
    </row>
    <row r="153" spans="1:4" x14ac:dyDescent="0.2">
      <c r="A153" t="s">
        <v>603</v>
      </c>
      <c r="B153" t="s">
        <v>604</v>
      </c>
      <c r="D153" t="str">
        <f t="shared" si="2"/>
        <v>11F01 No. de productos de comunicación generados por el ACNUR</v>
      </c>
    </row>
    <row r="154" spans="1:4" x14ac:dyDescent="0.2">
      <c r="A154" t="s">
        <v>605</v>
      </c>
      <c r="B154" t="s">
        <v>606</v>
      </c>
      <c r="D154" t="str">
        <f t="shared" si="2"/>
        <v>11F02 No. de eventos realizados</v>
      </c>
    </row>
  </sheetData>
  <autoFilter ref="A1:D154" xr:uid="{B77EBA91-84E2-4230-BEBB-DD81709DA0BC}"/>
  <pageMargins left="0.7" right="0.7" top="0.75" bottom="0.75" header="0.3" footer="0.3"/>
  <customProperties>
    <customPr name="layoutContexts" r:id="rId1"/>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C82AE-C3A3-4FDF-A604-90045030D933}">
  <sheetPr codeName="Sheet12"/>
  <dimension ref="A1"/>
  <sheetViews>
    <sheetView workbookViewId="0"/>
  </sheetViews>
  <sheetFormatPr defaultColWidth="9" defaultRowHeight="14.25" x14ac:dyDescent="0.2"/>
  <cols>
    <col min="1" max="16384" width="9" style="8"/>
  </cols>
  <sheetData/>
  <pageMargins left="0.7" right="0.7" top="0.75" bottom="0.75" header="0.3" footer="0.3"/>
  <customProperties>
    <customPr name="layoutContexts" r:id="rId1"/>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C509-CB4F-454E-B049-E63214C793DD}">
  <sheetPr codeName="Sheet2"/>
  <dimension ref="A1:A49"/>
  <sheetViews>
    <sheetView workbookViewId="0"/>
  </sheetViews>
  <sheetFormatPr defaultColWidth="9" defaultRowHeight="14.25" x14ac:dyDescent="0.2"/>
  <cols>
    <col min="1" max="1" width="103.375" style="1" customWidth="1"/>
    <col min="2" max="16384" width="9" style="1"/>
  </cols>
  <sheetData>
    <row r="1" spans="1:1" x14ac:dyDescent="0.2">
      <c r="A1" s="1" t="s">
        <v>329</v>
      </c>
    </row>
    <row r="2" spans="1:1" ht="28.5" x14ac:dyDescent="0.2">
      <c r="A2" s="1" t="s">
        <v>131</v>
      </c>
    </row>
    <row r="3" spans="1:1" ht="28.5" x14ac:dyDescent="0.2">
      <c r="A3" s="1" t="s">
        <v>78</v>
      </c>
    </row>
    <row r="4" spans="1:1" ht="28.5" x14ac:dyDescent="0.2">
      <c r="A4" s="1" t="s">
        <v>14</v>
      </c>
    </row>
    <row r="5" spans="1:1" ht="28.5" x14ac:dyDescent="0.2">
      <c r="A5" s="1" t="s">
        <v>607</v>
      </c>
    </row>
    <row r="6" spans="1:1" ht="28.5" x14ac:dyDescent="0.2">
      <c r="A6" s="1" t="s">
        <v>608</v>
      </c>
    </row>
    <row r="7" spans="1:1" x14ac:dyDescent="0.2">
      <c r="A7" s="1" t="s">
        <v>609</v>
      </c>
    </row>
    <row r="8" spans="1:1" ht="42.75" x14ac:dyDescent="0.2">
      <c r="A8" s="1" t="s">
        <v>610</v>
      </c>
    </row>
    <row r="9" spans="1:1" ht="42.75" x14ac:dyDescent="0.2">
      <c r="A9" s="1" t="s">
        <v>137</v>
      </c>
    </row>
    <row r="10" spans="1:1" ht="28.5" x14ac:dyDescent="0.2">
      <c r="A10" s="1" t="s">
        <v>611</v>
      </c>
    </row>
    <row r="11" spans="1:1" ht="28.5" x14ac:dyDescent="0.2">
      <c r="A11" s="1" t="s">
        <v>204</v>
      </c>
    </row>
    <row r="12" spans="1:1" ht="28.5" x14ac:dyDescent="0.2">
      <c r="A12" s="1" t="s">
        <v>612</v>
      </c>
    </row>
    <row r="13" spans="1:1" ht="42.75" x14ac:dyDescent="0.2">
      <c r="A13" s="1" t="s">
        <v>141</v>
      </c>
    </row>
    <row r="14" spans="1:1" ht="28.5" x14ac:dyDescent="0.2">
      <c r="A14" s="1" t="s">
        <v>613</v>
      </c>
    </row>
    <row r="15" spans="1:1" ht="28.5" x14ac:dyDescent="0.2">
      <c r="A15" s="1" t="s">
        <v>146</v>
      </c>
    </row>
    <row r="16" spans="1:1" x14ac:dyDescent="0.2">
      <c r="A16" s="1" t="s">
        <v>614</v>
      </c>
    </row>
    <row r="17" spans="1:1" ht="42.75" x14ac:dyDescent="0.2">
      <c r="A17" s="1" t="s">
        <v>150</v>
      </c>
    </row>
    <row r="18" spans="1:1" ht="28.5" x14ac:dyDescent="0.2">
      <c r="A18" s="1" t="s">
        <v>615</v>
      </c>
    </row>
    <row r="19" spans="1:1" ht="28.5" x14ac:dyDescent="0.2">
      <c r="A19" s="1" t="s">
        <v>155</v>
      </c>
    </row>
    <row r="20" spans="1:1" x14ac:dyDescent="0.2">
      <c r="A20" s="1" t="s">
        <v>616</v>
      </c>
    </row>
    <row r="21" spans="1:1" ht="28.5" x14ac:dyDescent="0.2">
      <c r="A21" s="1" t="s">
        <v>617</v>
      </c>
    </row>
    <row r="22" spans="1:1" ht="28.5" x14ac:dyDescent="0.2">
      <c r="A22" s="1" t="s">
        <v>17</v>
      </c>
    </row>
    <row r="23" spans="1:1" ht="28.5" x14ac:dyDescent="0.2">
      <c r="A23" s="1" t="s">
        <v>28</v>
      </c>
    </row>
    <row r="24" spans="1:1" ht="28.5" x14ac:dyDescent="0.2">
      <c r="A24" s="1" t="s">
        <v>618</v>
      </c>
    </row>
    <row r="25" spans="1:1" ht="28.5" x14ac:dyDescent="0.2">
      <c r="A25" s="1" t="s">
        <v>619</v>
      </c>
    </row>
    <row r="26" spans="1:1" ht="42.75" x14ac:dyDescent="0.2">
      <c r="A26" s="1" t="s">
        <v>620</v>
      </c>
    </row>
    <row r="27" spans="1:1" ht="28.5" x14ac:dyDescent="0.2">
      <c r="A27" s="1" t="s">
        <v>118</v>
      </c>
    </row>
    <row r="28" spans="1:1" x14ac:dyDescent="0.2">
      <c r="A28" s="1" t="s">
        <v>621</v>
      </c>
    </row>
    <row r="29" spans="1:1" ht="28.5" x14ac:dyDescent="0.2">
      <c r="A29" s="1" t="s">
        <v>622</v>
      </c>
    </row>
    <row r="30" spans="1:1" ht="28.5" x14ac:dyDescent="0.2">
      <c r="A30" s="1" t="s">
        <v>623</v>
      </c>
    </row>
    <row r="31" spans="1:1" ht="28.5" x14ac:dyDescent="0.2">
      <c r="A31" s="1" t="s">
        <v>624</v>
      </c>
    </row>
    <row r="32" spans="1:1" ht="28.5" x14ac:dyDescent="0.2">
      <c r="A32" s="1" t="s">
        <v>625</v>
      </c>
    </row>
    <row r="33" spans="1:1" ht="28.5" x14ac:dyDescent="0.2">
      <c r="A33" s="1" t="s">
        <v>626</v>
      </c>
    </row>
    <row r="34" spans="1:1" ht="42.75" x14ac:dyDescent="0.2">
      <c r="A34" s="1" t="s">
        <v>122</v>
      </c>
    </row>
    <row r="35" spans="1:1" ht="28.5" x14ac:dyDescent="0.2">
      <c r="A35" s="1" t="s">
        <v>627</v>
      </c>
    </row>
    <row r="36" spans="1:1" ht="28.5" x14ac:dyDescent="0.2">
      <c r="A36" s="1" t="s">
        <v>159</v>
      </c>
    </row>
    <row r="37" spans="1:1" ht="28.5" x14ac:dyDescent="0.2">
      <c r="A37" s="1" t="s">
        <v>192</v>
      </c>
    </row>
    <row r="38" spans="1:1" ht="28.5" x14ac:dyDescent="0.2">
      <c r="A38" s="1" t="s">
        <v>50</v>
      </c>
    </row>
    <row r="39" spans="1:1" ht="28.5" x14ac:dyDescent="0.2">
      <c r="A39" s="1" t="s">
        <v>232</v>
      </c>
    </row>
    <row r="40" spans="1:1" ht="42.75" x14ac:dyDescent="0.2">
      <c r="A40" s="1" t="s">
        <v>628</v>
      </c>
    </row>
    <row r="41" spans="1:1" ht="28.5" x14ac:dyDescent="0.2">
      <c r="A41" s="1" t="s">
        <v>629</v>
      </c>
    </row>
    <row r="42" spans="1:1" ht="28.5" x14ac:dyDescent="0.2">
      <c r="A42" s="1" t="s">
        <v>630</v>
      </c>
    </row>
    <row r="43" spans="1:1" ht="28.5" x14ac:dyDescent="0.2">
      <c r="A43" s="1" t="s">
        <v>62</v>
      </c>
    </row>
    <row r="44" spans="1:1" ht="42.75" x14ac:dyDescent="0.2">
      <c r="A44" s="1" t="s">
        <v>196</v>
      </c>
    </row>
    <row r="45" spans="1:1" ht="28.5" x14ac:dyDescent="0.2">
      <c r="A45" s="1" t="s">
        <v>200</v>
      </c>
    </row>
    <row r="46" spans="1:1" ht="42.75" x14ac:dyDescent="0.2">
      <c r="A46" s="1" t="s">
        <v>631</v>
      </c>
    </row>
    <row r="47" spans="1:1" ht="28.5" x14ac:dyDescent="0.2">
      <c r="A47" s="1" t="s">
        <v>632</v>
      </c>
    </row>
    <row r="48" spans="1:1" ht="28.5" x14ac:dyDescent="0.2">
      <c r="A48" s="1" t="s">
        <v>633</v>
      </c>
    </row>
    <row r="49" spans="1:1" ht="28.5" x14ac:dyDescent="0.2">
      <c r="A49" s="1" t="s">
        <v>634</v>
      </c>
    </row>
  </sheetData>
  <autoFilter ref="A1:A49" xr:uid="{E0F9C509-CB4F-454E-B049-E63214C793DD}"/>
  <pageMargins left="0.7" right="0.7" top="0.75" bottom="0.75" header="0.3" footer="0.3"/>
  <customProperties>
    <customPr name="layoutContexts"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76375-DEC4-4DAE-9943-79B5198C6B03}">
  <sheetPr codeName="Sheet4"/>
  <dimension ref="A1:B223"/>
  <sheetViews>
    <sheetView topLeftCell="A185" workbookViewId="0"/>
  </sheetViews>
  <sheetFormatPr defaultRowHeight="14.25" x14ac:dyDescent="0.2"/>
  <cols>
    <col min="1" max="1" width="18.375" customWidth="1"/>
    <col min="2" max="2" width="42.75" customWidth="1"/>
  </cols>
  <sheetData>
    <row r="1" spans="1:2" x14ac:dyDescent="0.2">
      <c r="A1" t="s">
        <v>635</v>
      </c>
      <c r="B1" t="s">
        <v>636</v>
      </c>
    </row>
    <row r="2" spans="1:2" x14ac:dyDescent="0.2">
      <c r="B2" t="s">
        <v>637</v>
      </c>
    </row>
    <row r="3" spans="1:2" x14ac:dyDescent="0.2">
      <c r="A3">
        <v>115</v>
      </c>
      <c r="B3" t="s">
        <v>638</v>
      </c>
    </row>
    <row r="4" spans="1:2" x14ac:dyDescent="0.2">
      <c r="A4">
        <v>111</v>
      </c>
      <c r="B4" t="s">
        <v>639</v>
      </c>
    </row>
    <row r="5" spans="1:2" x14ac:dyDescent="0.2">
      <c r="A5">
        <v>101</v>
      </c>
      <c r="B5" t="s">
        <v>221</v>
      </c>
    </row>
    <row r="6" spans="1:2" x14ac:dyDescent="0.2">
      <c r="A6">
        <v>112</v>
      </c>
      <c r="B6" t="s">
        <v>640</v>
      </c>
    </row>
    <row r="7" spans="1:2" x14ac:dyDescent="0.2">
      <c r="A7">
        <v>102</v>
      </c>
      <c r="B7" t="s">
        <v>641</v>
      </c>
    </row>
    <row r="8" spans="1:2" x14ac:dyDescent="0.2">
      <c r="A8">
        <v>114</v>
      </c>
      <c r="B8" t="s">
        <v>642</v>
      </c>
    </row>
    <row r="9" spans="1:2" x14ac:dyDescent="0.2">
      <c r="A9">
        <v>103</v>
      </c>
      <c r="B9" t="s">
        <v>643</v>
      </c>
    </row>
    <row r="10" spans="1:2" x14ac:dyDescent="0.2">
      <c r="A10">
        <v>104</v>
      </c>
      <c r="B10" t="s">
        <v>644</v>
      </c>
    </row>
    <row r="11" spans="1:2" x14ac:dyDescent="0.2">
      <c r="A11">
        <v>110</v>
      </c>
      <c r="B11" t="s">
        <v>645</v>
      </c>
    </row>
    <row r="12" spans="1:2" x14ac:dyDescent="0.2">
      <c r="A12">
        <v>105</v>
      </c>
      <c r="B12" t="s">
        <v>646</v>
      </c>
    </row>
    <row r="13" spans="1:2" x14ac:dyDescent="0.2">
      <c r="A13">
        <v>106</v>
      </c>
      <c r="B13" t="s">
        <v>647</v>
      </c>
    </row>
    <row r="14" spans="1:2" x14ac:dyDescent="0.2">
      <c r="A14">
        <v>107</v>
      </c>
      <c r="B14" t="s">
        <v>648</v>
      </c>
    </row>
    <row r="15" spans="1:2" x14ac:dyDescent="0.2">
      <c r="A15">
        <v>108</v>
      </c>
      <c r="B15" t="s">
        <v>649</v>
      </c>
    </row>
    <row r="16" spans="1:2" x14ac:dyDescent="0.2">
      <c r="A16">
        <v>113</v>
      </c>
      <c r="B16" t="s">
        <v>650</v>
      </c>
    </row>
    <row r="17" spans="1:2" x14ac:dyDescent="0.2">
      <c r="A17">
        <v>109</v>
      </c>
      <c r="B17" t="s">
        <v>651</v>
      </c>
    </row>
    <row r="18" spans="1:2" x14ac:dyDescent="0.2">
      <c r="A18">
        <v>206</v>
      </c>
      <c r="B18" t="s">
        <v>652</v>
      </c>
    </row>
    <row r="19" spans="1:2" x14ac:dyDescent="0.2">
      <c r="A19">
        <v>202</v>
      </c>
      <c r="B19" t="s">
        <v>653</v>
      </c>
    </row>
    <row r="20" spans="1:2" x14ac:dyDescent="0.2">
      <c r="A20">
        <v>203</v>
      </c>
      <c r="B20" t="s">
        <v>654</v>
      </c>
    </row>
    <row r="21" spans="1:2" x14ac:dyDescent="0.2">
      <c r="A21">
        <v>204</v>
      </c>
      <c r="B21" t="s">
        <v>655</v>
      </c>
    </row>
    <row r="22" spans="1:2" x14ac:dyDescent="0.2">
      <c r="A22">
        <v>201</v>
      </c>
      <c r="B22" t="s">
        <v>656</v>
      </c>
    </row>
    <row r="23" spans="1:2" x14ac:dyDescent="0.2">
      <c r="A23">
        <v>207</v>
      </c>
      <c r="B23" t="s">
        <v>657</v>
      </c>
    </row>
    <row r="24" spans="1:2" x14ac:dyDescent="0.2">
      <c r="A24">
        <v>205</v>
      </c>
      <c r="B24" t="s">
        <v>658</v>
      </c>
    </row>
    <row r="25" spans="1:2" x14ac:dyDescent="0.2">
      <c r="A25">
        <v>301</v>
      </c>
      <c r="B25" t="s">
        <v>659</v>
      </c>
    </row>
    <row r="26" spans="1:2" x14ac:dyDescent="0.2">
      <c r="A26">
        <v>302</v>
      </c>
      <c r="B26" t="s">
        <v>660</v>
      </c>
    </row>
    <row r="27" spans="1:2" x14ac:dyDescent="0.2">
      <c r="A27">
        <v>303</v>
      </c>
      <c r="B27" t="s">
        <v>661</v>
      </c>
    </row>
    <row r="28" spans="1:2" x14ac:dyDescent="0.2">
      <c r="A28">
        <v>306</v>
      </c>
      <c r="B28" t="s">
        <v>662</v>
      </c>
    </row>
    <row r="29" spans="1:2" x14ac:dyDescent="0.2">
      <c r="A29">
        <v>305</v>
      </c>
      <c r="B29" t="s">
        <v>663</v>
      </c>
    </row>
    <row r="30" spans="1:2" x14ac:dyDescent="0.2">
      <c r="A30">
        <v>304</v>
      </c>
      <c r="B30" t="s">
        <v>664</v>
      </c>
    </row>
    <row r="31" spans="1:2" x14ac:dyDescent="0.2">
      <c r="A31">
        <v>307</v>
      </c>
      <c r="B31" t="s">
        <v>665</v>
      </c>
    </row>
    <row r="32" spans="1:2" x14ac:dyDescent="0.2">
      <c r="A32">
        <v>402</v>
      </c>
      <c r="B32" t="s">
        <v>666</v>
      </c>
    </row>
    <row r="33" spans="1:2" x14ac:dyDescent="0.2">
      <c r="A33">
        <v>403</v>
      </c>
      <c r="B33" t="s">
        <v>667</v>
      </c>
    </row>
    <row r="34" spans="1:2" x14ac:dyDescent="0.2">
      <c r="A34">
        <v>404</v>
      </c>
      <c r="B34" t="s">
        <v>668</v>
      </c>
    </row>
    <row r="35" spans="1:2" x14ac:dyDescent="0.2">
      <c r="A35">
        <v>405</v>
      </c>
      <c r="B35" t="s">
        <v>669</v>
      </c>
    </row>
    <row r="36" spans="1:2" x14ac:dyDescent="0.2">
      <c r="A36">
        <v>406</v>
      </c>
      <c r="B36" t="s">
        <v>670</v>
      </c>
    </row>
    <row r="37" spans="1:2" x14ac:dyDescent="0.2">
      <c r="A37">
        <v>401</v>
      </c>
      <c r="B37" t="s">
        <v>71</v>
      </c>
    </row>
    <row r="38" spans="1:2" x14ac:dyDescent="0.2">
      <c r="A38">
        <v>602</v>
      </c>
      <c r="B38" t="s">
        <v>671</v>
      </c>
    </row>
    <row r="39" spans="1:2" x14ac:dyDescent="0.2">
      <c r="A39">
        <v>604</v>
      </c>
      <c r="B39" t="s">
        <v>672</v>
      </c>
    </row>
    <row r="40" spans="1:2" x14ac:dyDescent="0.2">
      <c r="A40">
        <v>605</v>
      </c>
      <c r="B40" t="s">
        <v>673</v>
      </c>
    </row>
    <row r="41" spans="1:2" x14ac:dyDescent="0.2">
      <c r="A41">
        <v>603</v>
      </c>
      <c r="B41" t="s">
        <v>674</v>
      </c>
    </row>
    <row r="42" spans="1:2" x14ac:dyDescent="0.2">
      <c r="A42">
        <v>610</v>
      </c>
      <c r="B42" t="s">
        <v>675</v>
      </c>
    </row>
    <row r="43" spans="1:2" x14ac:dyDescent="0.2">
      <c r="A43">
        <v>606</v>
      </c>
      <c r="B43" t="s">
        <v>676</v>
      </c>
    </row>
    <row r="44" spans="1:2" x14ac:dyDescent="0.2">
      <c r="A44">
        <v>607</v>
      </c>
      <c r="B44" t="s">
        <v>677</v>
      </c>
    </row>
    <row r="45" spans="1:2" x14ac:dyDescent="0.2">
      <c r="A45">
        <v>608</v>
      </c>
      <c r="B45" t="s">
        <v>678</v>
      </c>
    </row>
    <row r="46" spans="1:2" x14ac:dyDescent="0.2">
      <c r="A46">
        <v>609</v>
      </c>
      <c r="B46" t="s">
        <v>679</v>
      </c>
    </row>
    <row r="47" spans="1:2" x14ac:dyDescent="0.2">
      <c r="A47">
        <v>601</v>
      </c>
      <c r="B47" t="s">
        <v>680</v>
      </c>
    </row>
    <row r="48" spans="1:2" x14ac:dyDescent="0.2">
      <c r="A48">
        <v>502</v>
      </c>
      <c r="B48" t="s">
        <v>681</v>
      </c>
    </row>
    <row r="49" spans="1:2" x14ac:dyDescent="0.2">
      <c r="A49">
        <v>501</v>
      </c>
      <c r="B49" t="s">
        <v>682</v>
      </c>
    </row>
    <row r="50" spans="1:2" x14ac:dyDescent="0.2">
      <c r="A50">
        <v>503</v>
      </c>
      <c r="B50" t="s">
        <v>683</v>
      </c>
    </row>
    <row r="51" spans="1:2" x14ac:dyDescent="0.2">
      <c r="A51">
        <v>504</v>
      </c>
      <c r="B51" t="s">
        <v>684</v>
      </c>
    </row>
    <row r="52" spans="1:2" x14ac:dyDescent="0.2">
      <c r="A52">
        <v>505</v>
      </c>
      <c r="B52" t="s">
        <v>685</v>
      </c>
    </row>
    <row r="53" spans="1:2" x14ac:dyDescent="0.2">
      <c r="A53">
        <v>506</v>
      </c>
      <c r="B53" t="s">
        <v>686</v>
      </c>
    </row>
    <row r="54" spans="1:2" x14ac:dyDescent="0.2">
      <c r="A54">
        <v>507</v>
      </c>
      <c r="B54" t="s">
        <v>687</v>
      </c>
    </row>
    <row r="55" spans="1:2" x14ac:dyDescent="0.2">
      <c r="A55">
        <v>702</v>
      </c>
      <c r="B55" t="s">
        <v>688</v>
      </c>
    </row>
    <row r="56" spans="1:2" x14ac:dyDescent="0.2">
      <c r="A56">
        <v>703</v>
      </c>
      <c r="B56" t="s">
        <v>689</v>
      </c>
    </row>
    <row r="57" spans="1:2" x14ac:dyDescent="0.2">
      <c r="A57">
        <v>704</v>
      </c>
      <c r="B57" t="s">
        <v>690</v>
      </c>
    </row>
    <row r="58" spans="1:2" x14ac:dyDescent="0.2">
      <c r="A58">
        <v>705</v>
      </c>
      <c r="B58" t="s">
        <v>691</v>
      </c>
    </row>
    <row r="59" spans="1:2" x14ac:dyDescent="0.2">
      <c r="A59">
        <v>706</v>
      </c>
      <c r="B59" t="s">
        <v>692</v>
      </c>
    </row>
    <row r="60" spans="1:2" x14ac:dyDescent="0.2">
      <c r="A60">
        <v>707</v>
      </c>
      <c r="B60" t="s">
        <v>247</v>
      </c>
    </row>
    <row r="61" spans="1:2" x14ac:dyDescent="0.2">
      <c r="A61">
        <v>714</v>
      </c>
      <c r="B61" t="s">
        <v>693</v>
      </c>
    </row>
    <row r="62" spans="1:2" x14ac:dyDescent="0.2">
      <c r="A62">
        <v>701</v>
      </c>
      <c r="B62" t="s">
        <v>265</v>
      </c>
    </row>
    <row r="63" spans="1:2" x14ac:dyDescent="0.2">
      <c r="A63">
        <v>708</v>
      </c>
      <c r="B63" t="s">
        <v>694</v>
      </c>
    </row>
    <row r="64" spans="1:2" x14ac:dyDescent="0.2">
      <c r="A64">
        <v>709</v>
      </c>
      <c r="B64" t="s">
        <v>695</v>
      </c>
    </row>
    <row r="65" spans="1:2" x14ac:dyDescent="0.2">
      <c r="A65">
        <v>710</v>
      </c>
      <c r="B65" t="s">
        <v>696</v>
      </c>
    </row>
    <row r="66" spans="1:2" x14ac:dyDescent="0.2">
      <c r="A66">
        <v>711</v>
      </c>
      <c r="B66" t="s">
        <v>697</v>
      </c>
    </row>
    <row r="67" spans="1:2" x14ac:dyDescent="0.2">
      <c r="A67">
        <v>712</v>
      </c>
      <c r="B67" t="s">
        <v>698</v>
      </c>
    </row>
    <row r="68" spans="1:2" x14ac:dyDescent="0.2">
      <c r="A68">
        <v>713</v>
      </c>
      <c r="B68" t="s">
        <v>699</v>
      </c>
    </row>
    <row r="69" spans="1:2" x14ac:dyDescent="0.2">
      <c r="A69">
        <v>806</v>
      </c>
      <c r="B69" t="s">
        <v>700</v>
      </c>
    </row>
    <row r="70" spans="1:2" x14ac:dyDescent="0.2">
      <c r="A70">
        <v>802</v>
      </c>
      <c r="B70" t="s">
        <v>701</v>
      </c>
    </row>
    <row r="71" spans="1:2" x14ac:dyDescent="0.2">
      <c r="A71">
        <v>801</v>
      </c>
      <c r="B71" t="s">
        <v>702</v>
      </c>
    </row>
    <row r="72" spans="1:2" x14ac:dyDescent="0.2">
      <c r="A72">
        <v>2302</v>
      </c>
      <c r="B72" t="s">
        <v>703</v>
      </c>
    </row>
    <row r="73" spans="1:2" x14ac:dyDescent="0.2">
      <c r="A73">
        <v>803</v>
      </c>
      <c r="B73" t="s">
        <v>704</v>
      </c>
    </row>
    <row r="74" spans="1:2" x14ac:dyDescent="0.2">
      <c r="A74">
        <v>804</v>
      </c>
      <c r="B74" t="s">
        <v>705</v>
      </c>
    </row>
    <row r="75" spans="1:2" x14ac:dyDescent="0.2">
      <c r="A75">
        <v>807</v>
      </c>
      <c r="B75" t="s">
        <v>706</v>
      </c>
    </row>
    <row r="76" spans="1:2" x14ac:dyDescent="0.2">
      <c r="A76">
        <v>805</v>
      </c>
      <c r="B76" t="s">
        <v>707</v>
      </c>
    </row>
    <row r="77" spans="1:2" x14ac:dyDescent="0.2">
      <c r="A77">
        <v>2002</v>
      </c>
      <c r="B77" t="s">
        <v>708</v>
      </c>
    </row>
    <row r="78" spans="1:2" x14ac:dyDescent="0.2">
      <c r="A78">
        <v>2001</v>
      </c>
      <c r="B78" t="s">
        <v>709</v>
      </c>
    </row>
    <row r="79" spans="1:2" x14ac:dyDescent="0.2">
      <c r="A79">
        <v>2003</v>
      </c>
      <c r="B79" t="s">
        <v>710</v>
      </c>
    </row>
    <row r="80" spans="1:2" x14ac:dyDescent="0.2">
      <c r="A80">
        <v>902</v>
      </c>
      <c r="B80" t="s">
        <v>711</v>
      </c>
    </row>
    <row r="81" spans="1:2" x14ac:dyDescent="0.2">
      <c r="A81">
        <v>903</v>
      </c>
      <c r="B81" t="s">
        <v>712</v>
      </c>
    </row>
    <row r="82" spans="1:2" x14ac:dyDescent="0.2">
      <c r="A82">
        <v>904</v>
      </c>
      <c r="B82" t="s">
        <v>713</v>
      </c>
    </row>
    <row r="83" spans="1:2" x14ac:dyDescent="0.2">
      <c r="A83">
        <v>905</v>
      </c>
      <c r="B83" t="s">
        <v>714</v>
      </c>
    </row>
    <row r="84" spans="1:2" x14ac:dyDescent="0.2">
      <c r="A84">
        <v>923</v>
      </c>
      <c r="B84" t="s">
        <v>715</v>
      </c>
    </row>
    <row r="85" spans="1:2" x14ac:dyDescent="0.2">
      <c r="A85">
        <v>906</v>
      </c>
      <c r="B85" t="s">
        <v>716</v>
      </c>
    </row>
    <row r="86" spans="1:2" x14ac:dyDescent="0.2">
      <c r="A86">
        <v>907</v>
      </c>
      <c r="B86" t="s">
        <v>717</v>
      </c>
    </row>
    <row r="87" spans="1:2" x14ac:dyDescent="0.2">
      <c r="A87">
        <v>909</v>
      </c>
      <c r="B87" t="s">
        <v>718</v>
      </c>
    </row>
    <row r="88" spans="1:2" x14ac:dyDescent="0.2">
      <c r="A88">
        <v>908</v>
      </c>
      <c r="B88" t="s">
        <v>719</v>
      </c>
    </row>
    <row r="89" spans="1:2" x14ac:dyDescent="0.2">
      <c r="A89">
        <v>927</v>
      </c>
      <c r="B89" t="s">
        <v>720</v>
      </c>
    </row>
    <row r="90" spans="1:2" x14ac:dyDescent="0.2">
      <c r="A90">
        <v>901</v>
      </c>
      <c r="B90" t="s">
        <v>250</v>
      </c>
    </row>
    <row r="91" spans="1:2" x14ac:dyDescent="0.2">
      <c r="A91">
        <v>928</v>
      </c>
      <c r="B91" t="s">
        <v>721</v>
      </c>
    </row>
    <row r="92" spans="1:2" x14ac:dyDescent="0.2">
      <c r="A92">
        <v>924</v>
      </c>
      <c r="B92" t="s">
        <v>722</v>
      </c>
    </row>
    <row r="93" spans="1:2" x14ac:dyDescent="0.2">
      <c r="A93">
        <v>910</v>
      </c>
      <c r="B93" t="s">
        <v>723</v>
      </c>
    </row>
    <row r="94" spans="1:2" x14ac:dyDescent="0.2">
      <c r="A94">
        <v>911</v>
      </c>
      <c r="B94" t="s">
        <v>724</v>
      </c>
    </row>
    <row r="95" spans="1:2" x14ac:dyDescent="0.2">
      <c r="A95">
        <v>912</v>
      </c>
      <c r="B95" t="s">
        <v>725</v>
      </c>
    </row>
    <row r="96" spans="1:2" x14ac:dyDescent="0.2">
      <c r="A96">
        <v>925</v>
      </c>
      <c r="B96" t="s">
        <v>726</v>
      </c>
    </row>
    <row r="97" spans="1:2" x14ac:dyDescent="0.2">
      <c r="A97">
        <v>913</v>
      </c>
      <c r="B97" t="s">
        <v>727</v>
      </c>
    </row>
    <row r="98" spans="1:2" x14ac:dyDescent="0.2">
      <c r="A98">
        <v>914</v>
      </c>
      <c r="B98" t="s">
        <v>728</v>
      </c>
    </row>
    <row r="99" spans="1:2" x14ac:dyDescent="0.2">
      <c r="A99">
        <v>921</v>
      </c>
      <c r="B99" t="s">
        <v>729</v>
      </c>
    </row>
    <row r="100" spans="1:2" x14ac:dyDescent="0.2">
      <c r="A100">
        <v>919</v>
      </c>
      <c r="B100" t="s">
        <v>730</v>
      </c>
    </row>
    <row r="101" spans="1:2" x14ac:dyDescent="0.2">
      <c r="A101">
        <v>916</v>
      </c>
      <c r="B101" t="s">
        <v>731</v>
      </c>
    </row>
    <row r="102" spans="1:2" x14ac:dyDescent="0.2">
      <c r="A102">
        <v>920</v>
      </c>
      <c r="B102" t="s">
        <v>732</v>
      </c>
    </row>
    <row r="103" spans="1:2" x14ac:dyDescent="0.2">
      <c r="A103">
        <v>918</v>
      </c>
      <c r="B103" t="s">
        <v>733</v>
      </c>
    </row>
    <row r="104" spans="1:2" x14ac:dyDescent="0.2">
      <c r="A104">
        <v>922</v>
      </c>
      <c r="B104" t="s">
        <v>734</v>
      </c>
    </row>
    <row r="105" spans="1:2" x14ac:dyDescent="0.2">
      <c r="A105">
        <v>1002</v>
      </c>
      <c r="B105" t="s">
        <v>735</v>
      </c>
    </row>
    <row r="106" spans="1:2" x14ac:dyDescent="0.2">
      <c r="A106">
        <v>1003</v>
      </c>
      <c r="B106" t="s">
        <v>736</v>
      </c>
    </row>
    <row r="107" spans="1:2" x14ac:dyDescent="0.2">
      <c r="A107">
        <v>1001</v>
      </c>
      <c r="B107" t="s">
        <v>737</v>
      </c>
    </row>
    <row r="108" spans="1:2" x14ac:dyDescent="0.2">
      <c r="A108">
        <v>1004</v>
      </c>
      <c r="B108" t="s">
        <v>738</v>
      </c>
    </row>
    <row r="109" spans="1:2" x14ac:dyDescent="0.2">
      <c r="A109">
        <v>1005</v>
      </c>
      <c r="B109" t="s">
        <v>739</v>
      </c>
    </row>
    <row r="110" spans="1:2" x14ac:dyDescent="0.2">
      <c r="A110">
        <v>1006</v>
      </c>
      <c r="B110" t="s">
        <v>740</v>
      </c>
    </row>
    <row r="111" spans="1:2" x14ac:dyDescent="0.2">
      <c r="A111">
        <v>1102</v>
      </c>
      <c r="B111" t="s">
        <v>741</v>
      </c>
    </row>
    <row r="112" spans="1:2" x14ac:dyDescent="0.2">
      <c r="A112">
        <v>1103</v>
      </c>
      <c r="B112" t="s">
        <v>742</v>
      </c>
    </row>
    <row r="113" spans="1:2" x14ac:dyDescent="0.2">
      <c r="A113">
        <v>1104</v>
      </c>
      <c r="B113" t="s">
        <v>743</v>
      </c>
    </row>
    <row r="114" spans="1:2" x14ac:dyDescent="0.2">
      <c r="A114">
        <v>1105</v>
      </c>
      <c r="B114" t="s">
        <v>744</v>
      </c>
    </row>
    <row r="115" spans="1:2" x14ac:dyDescent="0.2">
      <c r="A115">
        <v>1106</v>
      </c>
      <c r="B115" t="s">
        <v>745</v>
      </c>
    </row>
    <row r="116" spans="1:2" x14ac:dyDescent="0.2">
      <c r="A116">
        <v>1107</v>
      </c>
      <c r="B116" t="s">
        <v>746</v>
      </c>
    </row>
    <row r="117" spans="1:2" x14ac:dyDescent="0.2">
      <c r="A117">
        <v>1101</v>
      </c>
      <c r="B117" t="s">
        <v>747</v>
      </c>
    </row>
    <row r="118" spans="1:2" x14ac:dyDescent="0.2">
      <c r="A118">
        <v>1108</v>
      </c>
      <c r="B118" t="s">
        <v>748</v>
      </c>
    </row>
    <row r="119" spans="1:2" x14ac:dyDescent="0.2">
      <c r="A119">
        <v>1116</v>
      </c>
      <c r="B119" t="s">
        <v>749</v>
      </c>
    </row>
    <row r="120" spans="1:2" x14ac:dyDescent="0.2">
      <c r="A120">
        <v>1109</v>
      </c>
      <c r="B120" t="s">
        <v>750</v>
      </c>
    </row>
    <row r="121" spans="1:2" x14ac:dyDescent="0.2">
      <c r="A121">
        <v>1114</v>
      </c>
      <c r="B121" t="s">
        <v>284</v>
      </c>
    </row>
    <row r="122" spans="1:2" x14ac:dyDescent="0.2">
      <c r="A122">
        <v>1110</v>
      </c>
      <c r="B122" t="s">
        <v>751</v>
      </c>
    </row>
    <row r="123" spans="1:2" x14ac:dyDescent="0.2">
      <c r="A123">
        <v>1115</v>
      </c>
      <c r="B123" t="s">
        <v>752</v>
      </c>
    </row>
    <row r="124" spans="1:2" x14ac:dyDescent="0.2">
      <c r="A124">
        <v>1111</v>
      </c>
      <c r="B124" t="s">
        <v>753</v>
      </c>
    </row>
    <row r="125" spans="1:2" x14ac:dyDescent="0.2">
      <c r="A125">
        <v>1112</v>
      </c>
      <c r="B125" t="s">
        <v>754</v>
      </c>
    </row>
    <row r="126" spans="1:2" x14ac:dyDescent="0.2">
      <c r="A126">
        <v>1113</v>
      </c>
      <c r="B126" t="s">
        <v>755</v>
      </c>
    </row>
    <row r="127" spans="1:2" x14ac:dyDescent="0.2">
      <c r="A127">
        <v>1202</v>
      </c>
      <c r="B127" t="s">
        <v>756</v>
      </c>
    </row>
    <row r="128" spans="1:2" x14ac:dyDescent="0.2">
      <c r="A128">
        <v>1201</v>
      </c>
      <c r="B128" t="s">
        <v>757</v>
      </c>
    </row>
    <row r="129" spans="1:2" x14ac:dyDescent="0.2">
      <c r="A129">
        <v>1210</v>
      </c>
      <c r="B129" t="s">
        <v>758</v>
      </c>
    </row>
    <row r="130" spans="1:2" x14ac:dyDescent="0.2">
      <c r="A130">
        <v>1212</v>
      </c>
      <c r="B130" t="s">
        <v>759</v>
      </c>
    </row>
    <row r="131" spans="1:2" x14ac:dyDescent="0.2">
      <c r="A131">
        <v>1203</v>
      </c>
      <c r="B131" t="s">
        <v>760</v>
      </c>
    </row>
    <row r="132" spans="1:2" x14ac:dyDescent="0.2">
      <c r="A132">
        <v>1209</v>
      </c>
      <c r="B132" t="s">
        <v>761</v>
      </c>
    </row>
    <row r="133" spans="1:2" x14ac:dyDescent="0.2">
      <c r="A133">
        <v>1204</v>
      </c>
      <c r="B133" t="s">
        <v>762</v>
      </c>
    </row>
    <row r="134" spans="1:2" x14ac:dyDescent="0.2">
      <c r="A134">
        <v>1205</v>
      </c>
      <c r="B134" t="s">
        <v>763</v>
      </c>
    </row>
    <row r="135" spans="1:2" x14ac:dyDescent="0.2">
      <c r="A135">
        <v>1213</v>
      </c>
      <c r="B135" t="s">
        <v>764</v>
      </c>
    </row>
    <row r="136" spans="1:2" x14ac:dyDescent="0.2">
      <c r="A136">
        <v>1206</v>
      </c>
      <c r="B136" t="s">
        <v>765</v>
      </c>
    </row>
    <row r="137" spans="1:2" x14ac:dyDescent="0.2">
      <c r="A137">
        <v>1211</v>
      </c>
      <c r="B137" t="s">
        <v>766</v>
      </c>
    </row>
    <row r="138" spans="1:2" x14ac:dyDescent="0.2">
      <c r="A138">
        <v>1207</v>
      </c>
      <c r="B138" t="s">
        <v>767</v>
      </c>
    </row>
    <row r="139" spans="1:2" x14ac:dyDescent="0.2">
      <c r="A139">
        <v>1208</v>
      </c>
      <c r="B139" t="s">
        <v>768</v>
      </c>
    </row>
    <row r="140" spans="1:2" x14ac:dyDescent="0.2">
      <c r="A140">
        <v>1316</v>
      </c>
      <c r="B140" t="s">
        <v>769</v>
      </c>
    </row>
    <row r="141" spans="1:2" x14ac:dyDescent="0.2">
      <c r="A141">
        <v>1302</v>
      </c>
      <c r="B141" t="s">
        <v>770</v>
      </c>
    </row>
    <row r="142" spans="1:2" x14ac:dyDescent="0.2">
      <c r="A142">
        <v>1303</v>
      </c>
      <c r="B142" t="s">
        <v>771</v>
      </c>
    </row>
    <row r="143" spans="1:2" x14ac:dyDescent="0.2">
      <c r="A143">
        <v>1304</v>
      </c>
      <c r="B143" t="s">
        <v>772</v>
      </c>
    </row>
    <row r="144" spans="1:2" x14ac:dyDescent="0.2">
      <c r="A144">
        <v>1305</v>
      </c>
      <c r="B144" t="s">
        <v>773</v>
      </c>
    </row>
    <row r="145" spans="1:2" x14ac:dyDescent="0.2">
      <c r="A145">
        <v>1320</v>
      </c>
      <c r="B145" t="s">
        <v>774</v>
      </c>
    </row>
    <row r="146" spans="1:2" x14ac:dyDescent="0.2">
      <c r="A146">
        <v>1321</v>
      </c>
      <c r="B146" t="s">
        <v>775</v>
      </c>
    </row>
    <row r="147" spans="1:2" x14ac:dyDescent="0.2">
      <c r="A147">
        <v>1306</v>
      </c>
      <c r="B147" t="s">
        <v>776</v>
      </c>
    </row>
    <row r="148" spans="1:2" x14ac:dyDescent="0.2">
      <c r="A148">
        <v>1307</v>
      </c>
      <c r="B148" t="s">
        <v>777</v>
      </c>
    </row>
    <row r="149" spans="1:2" x14ac:dyDescent="0.2">
      <c r="A149">
        <v>1308</v>
      </c>
      <c r="B149" t="s">
        <v>778</v>
      </c>
    </row>
    <row r="150" spans="1:2" x14ac:dyDescent="0.2">
      <c r="A150">
        <v>1309</v>
      </c>
      <c r="B150" t="s">
        <v>779</v>
      </c>
    </row>
    <row r="151" spans="1:2" x14ac:dyDescent="0.2">
      <c r="A151">
        <v>1318</v>
      </c>
      <c r="B151" t="s">
        <v>780</v>
      </c>
    </row>
    <row r="152" spans="1:2" x14ac:dyDescent="0.2">
      <c r="A152">
        <v>1310</v>
      </c>
      <c r="B152" t="s">
        <v>781</v>
      </c>
    </row>
    <row r="153" spans="1:2" x14ac:dyDescent="0.2">
      <c r="A153">
        <v>1317</v>
      </c>
      <c r="B153" t="s">
        <v>782</v>
      </c>
    </row>
    <row r="154" spans="1:2" x14ac:dyDescent="0.2">
      <c r="A154">
        <v>1311</v>
      </c>
      <c r="B154" t="s">
        <v>783</v>
      </c>
    </row>
    <row r="155" spans="1:2" x14ac:dyDescent="0.2">
      <c r="A155">
        <v>1301</v>
      </c>
      <c r="B155" t="s">
        <v>784</v>
      </c>
    </row>
    <row r="156" spans="1:2" x14ac:dyDescent="0.2">
      <c r="A156">
        <v>1319</v>
      </c>
      <c r="B156" t="s">
        <v>785</v>
      </c>
    </row>
    <row r="157" spans="1:2" x14ac:dyDescent="0.2">
      <c r="A157">
        <v>1312</v>
      </c>
      <c r="B157" t="s">
        <v>786</v>
      </c>
    </row>
    <row r="158" spans="1:2" x14ac:dyDescent="0.2">
      <c r="A158">
        <v>1322</v>
      </c>
      <c r="B158" t="s">
        <v>787</v>
      </c>
    </row>
    <row r="159" spans="1:2" x14ac:dyDescent="0.2">
      <c r="A159">
        <v>1313</v>
      </c>
      <c r="B159" t="s">
        <v>788</v>
      </c>
    </row>
    <row r="160" spans="1:2" x14ac:dyDescent="0.2">
      <c r="A160">
        <v>1314</v>
      </c>
      <c r="B160" t="s">
        <v>789</v>
      </c>
    </row>
    <row r="161" spans="1:2" x14ac:dyDescent="0.2">
      <c r="A161">
        <v>1315</v>
      </c>
      <c r="B161" t="s">
        <v>790</v>
      </c>
    </row>
    <row r="162" spans="1:2" x14ac:dyDescent="0.2">
      <c r="A162">
        <v>1402</v>
      </c>
      <c r="B162" t="s">
        <v>791</v>
      </c>
    </row>
    <row r="163" spans="1:2" x14ac:dyDescent="0.2">
      <c r="A163">
        <v>1407</v>
      </c>
      <c r="B163" t="s">
        <v>792</v>
      </c>
    </row>
    <row r="164" spans="1:2" x14ac:dyDescent="0.2">
      <c r="A164">
        <v>1403</v>
      </c>
      <c r="B164" t="s">
        <v>793</v>
      </c>
    </row>
    <row r="165" spans="1:2" x14ac:dyDescent="0.2">
      <c r="A165">
        <v>1410</v>
      </c>
      <c r="B165" t="s">
        <v>794</v>
      </c>
    </row>
    <row r="166" spans="1:2" x14ac:dyDescent="0.2">
      <c r="A166">
        <v>1401</v>
      </c>
      <c r="B166" t="s">
        <v>795</v>
      </c>
    </row>
    <row r="167" spans="1:2" x14ac:dyDescent="0.2">
      <c r="A167">
        <v>1411</v>
      </c>
      <c r="B167" t="s">
        <v>796</v>
      </c>
    </row>
    <row r="168" spans="1:2" x14ac:dyDescent="0.2">
      <c r="A168">
        <v>1404</v>
      </c>
      <c r="B168" t="s">
        <v>797</v>
      </c>
    </row>
    <row r="169" spans="1:2" x14ac:dyDescent="0.2">
      <c r="A169">
        <v>1408</v>
      </c>
      <c r="B169" t="s">
        <v>798</v>
      </c>
    </row>
    <row r="170" spans="1:2" x14ac:dyDescent="0.2">
      <c r="A170">
        <v>1405</v>
      </c>
      <c r="B170" t="s">
        <v>799</v>
      </c>
    </row>
    <row r="171" spans="1:2" x14ac:dyDescent="0.2">
      <c r="A171">
        <v>1406</v>
      </c>
      <c r="B171" t="s">
        <v>800</v>
      </c>
    </row>
    <row r="172" spans="1:2" x14ac:dyDescent="0.2">
      <c r="A172">
        <v>1409</v>
      </c>
      <c r="B172" t="s">
        <v>801</v>
      </c>
    </row>
    <row r="173" spans="1:2" x14ac:dyDescent="0.2">
      <c r="A173">
        <v>1412</v>
      </c>
      <c r="B173" t="s">
        <v>802</v>
      </c>
    </row>
    <row r="174" spans="1:2" x14ac:dyDescent="0.2">
      <c r="A174">
        <v>1503</v>
      </c>
      <c r="B174" t="s">
        <v>803</v>
      </c>
    </row>
    <row r="175" spans="1:2" x14ac:dyDescent="0.2">
      <c r="A175">
        <v>1509</v>
      </c>
      <c r="B175" t="s">
        <v>804</v>
      </c>
    </row>
    <row r="176" spans="1:2" x14ac:dyDescent="0.2">
      <c r="A176">
        <v>1504</v>
      </c>
      <c r="B176" t="s">
        <v>805</v>
      </c>
    </row>
    <row r="177" spans="1:2" x14ac:dyDescent="0.2">
      <c r="A177">
        <v>1507</v>
      </c>
      <c r="B177" t="s">
        <v>806</v>
      </c>
    </row>
    <row r="178" spans="1:2" x14ac:dyDescent="0.2">
      <c r="A178">
        <v>1501</v>
      </c>
      <c r="B178" t="s">
        <v>807</v>
      </c>
    </row>
    <row r="179" spans="1:2" x14ac:dyDescent="0.2">
      <c r="A179">
        <v>2202</v>
      </c>
      <c r="B179" t="s">
        <v>808</v>
      </c>
    </row>
    <row r="180" spans="1:2" x14ac:dyDescent="0.2">
      <c r="A180">
        <v>2203</v>
      </c>
      <c r="B180" t="s">
        <v>809</v>
      </c>
    </row>
    <row r="181" spans="1:2" x14ac:dyDescent="0.2">
      <c r="A181">
        <v>2204</v>
      </c>
      <c r="B181" t="s">
        <v>810</v>
      </c>
    </row>
    <row r="182" spans="1:2" x14ac:dyDescent="0.2">
      <c r="A182">
        <v>2201</v>
      </c>
      <c r="B182" t="s">
        <v>811</v>
      </c>
    </row>
    <row r="183" spans="1:2" x14ac:dyDescent="0.2">
      <c r="A183">
        <v>1604</v>
      </c>
      <c r="B183" t="s">
        <v>812</v>
      </c>
    </row>
    <row r="184" spans="1:2" x14ac:dyDescent="0.2">
      <c r="A184">
        <v>1602</v>
      </c>
      <c r="B184" t="s">
        <v>813</v>
      </c>
    </row>
    <row r="185" spans="1:2" x14ac:dyDescent="0.2">
      <c r="A185">
        <v>1601</v>
      </c>
      <c r="B185" t="s">
        <v>814</v>
      </c>
    </row>
    <row r="186" spans="1:2" x14ac:dyDescent="0.2">
      <c r="A186">
        <v>1603</v>
      </c>
      <c r="B186" t="s">
        <v>815</v>
      </c>
    </row>
    <row r="187" spans="1:2" x14ac:dyDescent="0.2">
      <c r="A187">
        <v>1702</v>
      </c>
      <c r="B187" t="s">
        <v>816</v>
      </c>
    </row>
    <row r="188" spans="1:2" x14ac:dyDescent="0.2">
      <c r="A188">
        <v>1703</v>
      </c>
      <c r="B188" t="s">
        <v>817</v>
      </c>
    </row>
    <row r="189" spans="1:2" x14ac:dyDescent="0.2">
      <c r="A189">
        <v>1704</v>
      </c>
      <c r="B189" t="s">
        <v>818</v>
      </c>
    </row>
    <row r="190" spans="1:2" x14ac:dyDescent="0.2">
      <c r="A190">
        <v>1708</v>
      </c>
      <c r="B190" t="s">
        <v>819</v>
      </c>
    </row>
    <row r="191" spans="1:2" x14ac:dyDescent="0.2">
      <c r="A191">
        <v>1709</v>
      </c>
      <c r="B191" t="s">
        <v>820</v>
      </c>
    </row>
    <row r="192" spans="1:2" x14ac:dyDescent="0.2">
      <c r="A192">
        <v>1701</v>
      </c>
      <c r="B192" t="s">
        <v>215</v>
      </c>
    </row>
    <row r="193" spans="1:2" x14ac:dyDescent="0.2">
      <c r="A193">
        <v>1705</v>
      </c>
      <c r="B193" t="s">
        <v>821</v>
      </c>
    </row>
    <row r="194" spans="1:2" x14ac:dyDescent="0.2">
      <c r="A194">
        <v>1707</v>
      </c>
      <c r="B194" t="s">
        <v>822</v>
      </c>
    </row>
    <row r="195" spans="1:2" x14ac:dyDescent="0.2">
      <c r="A195">
        <v>2402</v>
      </c>
      <c r="B195" t="s">
        <v>823</v>
      </c>
    </row>
    <row r="196" spans="1:2" x14ac:dyDescent="0.2">
      <c r="A196">
        <v>2403</v>
      </c>
      <c r="B196" t="s">
        <v>824</v>
      </c>
    </row>
    <row r="197" spans="1:2" x14ac:dyDescent="0.2">
      <c r="A197">
        <v>2401</v>
      </c>
      <c r="B197" t="s">
        <v>825</v>
      </c>
    </row>
    <row r="198" spans="1:2" x14ac:dyDescent="0.2">
      <c r="A198">
        <v>2301</v>
      </c>
      <c r="B198" t="s">
        <v>308</v>
      </c>
    </row>
    <row r="199" spans="1:2" x14ac:dyDescent="0.2">
      <c r="A199">
        <v>2106</v>
      </c>
      <c r="B199" t="s">
        <v>826</v>
      </c>
    </row>
    <row r="200" spans="1:2" x14ac:dyDescent="0.2">
      <c r="A200">
        <v>2107</v>
      </c>
      <c r="B200" t="s">
        <v>827</v>
      </c>
    </row>
    <row r="201" spans="1:2" x14ac:dyDescent="0.2">
      <c r="A201">
        <v>2102</v>
      </c>
      <c r="B201" t="s">
        <v>828</v>
      </c>
    </row>
    <row r="202" spans="1:2" x14ac:dyDescent="0.2">
      <c r="A202">
        <v>2101</v>
      </c>
      <c r="B202" t="s">
        <v>112</v>
      </c>
    </row>
    <row r="203" spans="1:2" x14ac:dyDescent="0.2">
      <c r="A203">
        <v>2103</v>
      </c>
      <c r="B203" t="s">
        <v>829</v>
      </c>
    </row>
    <row r="204" spans="1:2" x14ac:dyDescent="0.2">
      <c r="A204">
        <v>2104</v>
      </c>
      <c r="B204" t="s">
        <v>830</v>
      </c>
    </row>
    <row r="205" spans="1:2" x14ac:dyDescent="0.2">
      <c r="A205">
        <v>2105</v>
      </c>
      <c r="B205" t="s">
        <v>831</v>
      </c>
    </row>
    <row r="206" spans="1:2" x14ac:dyDescent="0.2">
      <c r="A206">
        <v>1801</v>
      </c>
      <c r="B206" t="s">
        <v>311</v>
      </c>
    </row>
    <row r="207" spans="1:2" x14ac:dyDescent="0.2">
      <c r="A207">
        <v>1802</v>
      </c>
      <c r="B207" t="s">
        <v>832</v>
      </c>
    </row>
    <row r="208" spans="1:2" x14ac:dyDescent="0.2">
      <c r="A208">
        <v>1803</v>
      </c>
      <c r="B208" t="s">
        <v>833</v>
      </c>
    </row>
    <row r="209" spans="1:2" x14ac:dyDescent="0.2">
      <c r="A209">
        <v>1804</v>
      </c>
      <c r="B209" t="s">
        <v>834</v>
      </c>
    </row>
    <row r="210" spans="1:2" x14ac:dyDescent="0.2">
      <c r="A210">
        <v>1805</v>
      </c>
      <c r="B210" t="s">
        <v>835</v>
      </c>
    </row>
    <row r="211" spans="1:2" x14ac:dyDescent="0.2">
      <c r="A211">
        <v>1806</v>
      </c>
      <c r="B211" t="s">
        <v>836</v>
      </c>
    </row>
    <row r="212" spans="1:2" x14ac:dyDescent="0.2">
      <c r="A212">
        <v>1807</v>
      </c>
      <c r="B212" t="s">
        <v>837</v>
      </c>
    </row>
    <row r="213" spans="1:2" x14ac:dyDescent="0.2">
      <c r="A213">
        <v>1808</v>
      </c>
      <c r="B213" t="s">
        <v>838</v>
      </c>
    </row>
    <row r="214" spans="1:2" x14ac:dyDescent="0.2">
      <c r="A214">
        <v>1809</v>
      </c>
      <c r="B214" t="s">
        <v>839</v>
      </c>
    </row>
    <row r="215" spans="1:2" x14ac:dyDescent="0.2">
      <c r="A215">
        <v>1907</v>
      </c>
      <c r="B215" t="s">
        <v>840</v>
      </c>
    </row>
    <row r="216" spans="1:2" x14ac:dyDescent="0.2">
      <c r="A216">
        <v>1902</v>
      </c>
      <c r="B216" t="s">
        <v>841</v>
      </c>
    </row>
    <row r="217" spans="1:2" x14ac:dyDescent="0.2">
      <c r="A217">
        <v>1906</v>
      </c>
      <c r="B217" t="s">
        <v>842</v>
      </c>
    </row>
    <row r="218" spans="1:2" x14ac:dyDescent="0.2">
      <c r="A218">
        <v>1903</v>
      </c>
      <c r="B218" t="s">
        <v>843</v>
      </c>
    </row>
    <row r="219" spans="1:2" x14ac:dyDescent="0.2">
      <c r="A219">
        <v>1908</v>
      </c>
      <c r="B219" t="s">
        <v>844</v>
      </c>
    </row>
    <row r="220" spans="1:2" x14ac:dyDescent="0.2">
      <c r="A220">
        <v>1909</v>
      </c>
      <c r="B220" t="s">
        <v>845</v>
      </c>
    </row>
    <row r="221" spans="1:2" x14ac:dyDescent="0.2">
      <c r="A221">
        <v>1904</v>
      </c>
      <c r="B221" t="s">
        <v>846</v>
      </c>
    </row>
    <row r="222" spans="1:2" x14ac:dyDescent="0.2">
      <c r="A222">
        <v>1905</v>
      </c>
      <c r="B222" t="s">
        <v>847</v>
      </c>
    </row>
    <row r="223" spans="1:2" x14ac:dyDescent="0.2">
      <c r="A223">
        <v>1901</v>
      </c>
      <c r="B223" t="s">
        <v>848</v>
      </c>
    </row>
  </sheetData>
  <pageMargins left="0.7" right="0.7" top="0.75" bottom="0.75" header="0.3" footer="0.3"/>
  <customProperties>
    <customPr name="layoutContexts"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C8D1B5FFD618B4E96C2FF7D88AB182B" ma:contentTypeVersion="18" ma:contentTypeDescription="Create a new document." ma:contentTypeScope="" ma:versionID="1537934f8fcf4a8241db5ed565abb1c5">
  <xsd:schema xmlns:xsd="http://www.w3.org/2001/XMLSchema" xmlns:xs="http://www.w3.org/2001/XMLSchema" xmlns:p="http://schemas.microsoft.com/office/2006/metadata/properties" xmlns:ns2="572d5251-ef0c-472b-8560-265d0ea24ad8" xmlns:ns3="013c30a8-76b9-4357-a999-24e8bf0a122e" targetNamespace="http://schemas.microsoft.com/office/2006/metadata/properties" ma:root="true" ma:fieldsID="0982e589fd8898e429887bbdfa2ca9cb" ns2:_="" ns3:_="">
    <xsd:import namespace="572d5251-ef0c-472b-8560-265d0ea24ad8"/>
    <xsd:import namespace="013c30a8-76b9-4357-a999-24e8bf0a12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d5251-ef0c-472b-8560-265d0ea24a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f5f3f4cc-79b9-4d17-b8fa-dd7577b1fb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13c30a8-76b9-4357-a999-24e8bf0a122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f3472f-b8c4-4484-bad7-151edb07c212}" ma:internalName="TaxCatchAll" ma:showField="CatchAllData" ma:web="013c30a8-76b9-4357-a999-24e8bf0a12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7E336D-A290-4A84-8191-36119EB5B48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d5251-ef0c-472b-8560-265d0ea24ad8"/>
    <ds:schemaRef ds:uri="013c30a8-76b9-4357-a999-24e8bf0a12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CC97AF-BE97-4AFE-9334-408DF3C0C06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formato_indicadores_asignados</vt:lpstr>
      <vt:lpstr>WORLD VISION</vt:lpstr>
      <vt:lpstr>FUDELA SOIB</vt:lpstr>
      <vt:lpstr>MSC SOIB &amp; SOPI</vt:lpstr>
      <vt:lpstr>AISOS</vt:lpstr>
      <vt:lpstr>FEPP</vt:lpstr>
      <vt:lpstr>FMS</vt:lpstr>
      <vt:lpstr>FT</vt:lpstr>
      <vt:lpstr>HIAS</vt:lpstr>
      <vt:lpstr>NRC</vt:lpstr>
      <vt:lpstr>CRISFE</vt:lpstr>
      <vt:lpstr>AVSI SOGU</vt:lpstr>
      <vt:lpstr>CDH</vt:lpstr>
      <vt:lpstr>MMO</vt:lpstr>
      <vt:lpstr>ADRA</vt:lpstr>
      <vt:lpstr>CORPEI</vt:lpstr>
      <vt:lpstr>FPE</vt:lpstr>
      <vt:lpstr>ASA</vt:lpstr>
      <vt:lpstr>AVSI SOPI</vt:lpstr>
      <vt:lpstr>CORPOAMBATO</vt:lpstr>
      <vt:lpstr>SJR</vt:lpstr>
      <vt:lpstr>FUDELA SOPI</vt:lpstr>
      <vt:lpstr>Sheet3</vt:lpstr>
      <vt:lpstr>Sheet5</vt:lpstr>
      <vt:lpstr>Sheet2</vt:lpstr>
      <vt:lpstr>Sheet4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Sebastian Salazar Tapia</dc:creator>
  <cp:keywords/>
  <dc:description/>
  <cp:lastModifiedBy>Sebastian Salazar Tapia</cp:lastModifiedBy>
  <cp:revision/>
  <dcterms:created xsi:type="dcterms:W3CDTF">2022-12-28T19:56:25Z</dcterms:created>
  <dcterms:modified xsi:type="dcterms:W3CDTF">2023-01-29T20:57:09Z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sum">
    <vt:filetime>2023-01-03T23:02:15Z</vt:filetime>
  </property>
</Properties>
</file>